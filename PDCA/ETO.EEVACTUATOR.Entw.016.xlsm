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2e7e70eb178420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DieseArbeitsmappe" hidePivotFieldList="1" defaultThemeVersion="166925"/>
  <mc:AlternateContent xmlns:mc="http://schemas.openxmlformats.org/markup-compatibility/2006">
    <mc:Choice Requires="x15">
      <x15ac:absPath xmlns:x15ac="http://schemas.microsoft.com/office/spreadsheetml/2010/11/ac" url="C:\Users\npawelka\Desktop\PDCA\"/>
    </mc:Choice>
  </mc:AlternateContent>
  <xr:revisionPtr revIDLastSave="0" documentId="13_ncr:1_{CA12B31F-BE57-4F3F-9761-E6CD976655DF}" xr6:coauthVersionLast="47" xr6:coauthVersionMax="47" xr10:uidLastSave="{00000000-0000-0000-0000-000000000000}"/>
  <bookViews>
    <workbookView xWindow="-120" yWindow="-120" windowWidth="29040" windowHeight="15840" tabRatio="634" activeTab="1" xr2:uid="{1769C199-BA27-4427-BD53-AB60ED4DA3A0}"/>
  </bookViews>
  <sheets>
    <sheet name="Cockpit" sheetId="1" r:id="rId1"/>
    <sheet name="1. Software Entwicklungssuppor" sheetId="12" r:id="rId2"/>
    <sheet name="2. Support Systementwicklung " sheetId="13" r:id="rId3"/>
    <sheet name="3. Support Task Force" sheetId="14" r:id="rId4"/>
    <sheet name="4. Geschätze Prozessaufwände" sheetId="15" r:id="rId5"/>
    <sheet name="Ressourceneinsatz" sheetId="2" r:id="rId6"/>
    <sheet name="Vorlage Position" sheetId="10" state="hidden" r:id="rId7"/>
    <sheet name="MA-Budget-Check" sheetId="9" state="hidden" r:id="rId8"/>
    <sheet name="Pos_Hilfstabelle" sheetId="8" state="hidden" r:id="rId9"/>
    <sheet name="Projekteinstellungen" sheetId="6" state="hidden" r:id="rId10"/>
    <sheet name="Adresstabelle" sheetId="7" state="hidden" r:id="rId1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71" i="12" l="1"/>
  <c r="R171" i="12"/>
  <c r="S166" i="12"/>
  <c r="R166" i="12"/>
  <c r="S161" i="12"/>
  <c r="R161" i="12"/>
  <c r="R156" i="12"/>
  <c r="S156" i="12" s="1"/>
  <c r="R151" i="12"/>
  <c r="S151" i="12" s="1"/>
  <c r="Y147" i="12"/>
  <c r="X147" i="12"/>
  <c r="R52" i="12"/>
  <c r="S52" i="12" s="1"/>
  <c r="R47" i="12"/>
  <c r="R42" i="12"/>
  <c r="S42" i="12" s="1"/>
  <c r="R37" i="12"/>
  <c r="S37" i="12" s="1"/>
  <c r="S32" i="12"/>
  <c r="R32" i="12"/>
  <c r="S27" i="12"/>
  <c r="R27" i="12"/>
  <c r="S22" i="12"/>
  <c r="R22" i="12"/>
  <c r="S142" i="12"/>
  <c r="R142" i="12"/>
  <c r="S137" i="12"/>
  <c r="R137" i="12"/>
  <c r="R132" i="12"/>
  <c r="S132" i="12" s="1"/>
  <c r="T132" i="12" s="1"/>
  <c r="S127" i="12"/>
  <c r="R127" i="12"/>
  <c r="R122" i="12"/>
  <c r="S117" i="12"/>
  <c r="R117" i="12"/>
  <c r="R112" i="12"/>
  <c r="S112" i="12" s="1"/>
  <c r="S107" i="12"/>
  <c r="R107" i="12"/>
  <c r="R17" i="12"/>
  <c r="S17" i="12" s="1"/>
  <c r="R102" i="12"/>
  <c r="S102" i="12" s="1"/>
  <c r="R97" i="12"/>
  <c r="S97" i="12" s="1"/>
  <c r="R92" i="12"/>
  <c r="S92" i="12" s="1"/>
  <c r="R87" i="12"/>
  <c r="S87" i="12" s="1"/>
  <c r="R82" i="12"/>
  <c r="S82" i="12" s="1"/>
  <c r="R77" i="12"/>
  <c r="S77" i="12" s="1"/>
  <c r="S72" i="12"/>
  <c r="R72" i="12"/>
  <c r="R67" i="12"/>
  <c r="S67" i="12" s="1"/>
  <c r="S62" i="12"/>
  <c r="R62" i="12"/>
  <c r="S57" i="12"/>
  <c r="R57" i="12"/>
  <c r="S12" i="12"/>
  <c r="R12" i="12"/>
  <c r="Y8" i="12"/>
  <c r="X8" i="12"/>
  <c r="R4" i="12"/>
  <c r="S4" i="12" s="1"/>
  <c r="F17" i="1"/>
  <c r="F16" i="1"/>
  <c r="S8" i="14"/>
  <c r="E44" i="2"/>
  <c r="F44" i="2" s="1"/>
  <c r="G44" i="2" s="1"/>
  <c r="H44" i="2" s="1"/>
  <c r="I44" i="2" s="1"/>
  <c r="J44" i="2" s="1"/>
  <c r="K44" i="2" s="1"/>
  <c r="L44" i="2" s="1"/>
  <c r="M44" i="2" s="1"/>
  <c r="N44" i="2" s="1"/>
  <c r="O44" i="2" s="1"/>
  <c r="P44" i="2" s="1"/>
  <c r="Q44" i="2" s="1"/>
  <c r="R44" i="2" s="1"/>
  <c r="S44" i="2" s="1"/>
  <c r="T44" i="2" s="1"/>
  <c r="U44" i="2" s="1"/>
  <c r="V44" i="2" s="1"/>
  <c r="W44" i="2" s="1"/>
  <c r="X44" i="2" s="1"/>
  <c r="Y44" i="2" s="1"/>
  <c r="Z44" i="2" s="1"/>
  <c r="AA44" i="2" s="1"/>
  <c r="AB44" i="2" s="1"/>
  <c r="AC44" i="2" s="1"/>
  <c r="AD44" i="2" s="1"/>
  <c r="AE44" i="2" s="1"/>
  <c r="AF44" i="2" s="1"/>
  <c r="AG44" i="2" s="1"/>
  <c r="AH44" i="2" s="1"/>
  <c r="AI44" i="2" s="1"/>
  <c r="AJ44" i="2" s="1"/>
  <c r="AK44" i="2" s="1"/>
  <c r="AL44" i="2" s="1"/>
  <c r="AM44" i="2" s="1"/>
  <c r="AN44" i="2" s="1"/>
  <c r="AO44" i="2" s="1"/>
  <c r="AP44" i="2" s="1"/>
  <c r="AQ44" i="2" s="1"/>
  <c r="AR44" i="2" s="1"/>
  <c r="AS44" i="2" s="1"/>
  <c r="AT44" i="2" s="1"/>
  <c r="AU44" i="2" s="1"/>
  <c r="AV44" i="2" s="1"/>
  <c r="AW44" i="2" s="1"/>
  <c r="AX44" i="2" s="1"/>
  <c r="AY44" i="2" s="1"/>
  <c r="AZ44" i="2" s="1"/>
  <c r="BA44" i="2" s="1"/>
  <c r="BB44" i="2" s="1"/>
  <c r="BC44" i="2" s="1"/>
  <c r="BD44" i="2" s="1"/>
  <c r="BE44" i="2" s="1"/>
  <c r="D25" i="2"/>
  <c r="D24" i="2"/>
  <c r="D23" i="2"/>
  <c r="D22" i="2"/>
  <c r="D21" i="2"/>
  <c r="D20" i="2"/>
  <c r="D19" i="2"/>
  <c r="D27" i="2" s="1"/>
  <c r="D18" i="2"/>
  <c r="D17" i="2"/>
  <c r="D16" i="2"/>
  <c r="D15" i="2"/>
  <c r="D14" i="2"/>
  <c r="D13" i="2"/>
  <c r="D12" i="2"/>
  <c r="D11" i="2"/>
  <c r="D10" i="2"/>
  <c r="D9" i="2"/>
  <c r="D8" i="2"/>
  <c r="D7" i="2"/>
  <c r="W29" i="2"/>
  <c r="V29" i="2"/>
  <c r="U29" i="2"/>
  <c r="T29" i="2"/>
  <c r="G22" i="1" s="1"/>
  <c r="S29" i="2"/>
  <c r="R29" i="2"/>
  <c r="G21" i="1" s="1"/>
  <c r="Q29" i="2"/>
  <c r="P29" i="2"/>
  <c r="O29" i="2"/>
  <c r="N29" i="2"/>
  <c r="M29" i="2"/>
  <c r="L29" i="2"/>
  <c r="K29" i="2"/>
  <c r="J29" i="2"/>
  <c r="I29" i="2"/>
  <c r="H29" i="2"/>
  <c r="G29" i="2"/>
  <c r="F29" i="2"/>
  <c r="E29" i="2"/>
  <c r="W27" i="2"/>
  <c r="V27" i="2"/>
  <c r="U27" i="2"/>
  <c r="T27" i="2"/>
  <c r="S27" i="2"/>
  <c r="R27" i="2"/>
  <c r="Q27" i="2"/>
  <c r="P27" i="2"/>
  <c r="O27" i="2"/>
  <c r="N27" i="2"/>
  <c r="M27" i="2"/>
  <c r="L27" i="2"/>
  <c r="K27" i="2"/>
  <c r="J27" i="2"/>
  <c r="I27" i="2"/>
  <c r="H27" i="2"/>
  <c r="G27" i="2"/>
  <c r="F27" i="2"/>
  <c r="E27" i="2"/>
  <c r="X8" i="2"/>
  <c r="V8" i="2"/>
  <c r="T8" i="2"/>
  <c r="S8" i="2"/>
  <c r="R8" i="2"/>
  <c r="Q8" i="2"/>
  <c r="N8" i="2"/>
  <c r="M8" i="2"/>
  <c r="L8" i="2"/>
  <c r="K8" i="2"/>
  <c r="J8" i="2"/>
  <c r="I8" i="2"/>
  <c r="H8" i="2"/>
  <c r="G8" i="2"/>
  <c r="F8" i="2"/>
  <c r="V9" i="2"/>
  <c r="U9" i="2"/>
  <c r="T9" i="2"/>
  <c r="S9" i="2"/>
  <c r="R9" i="2"/>
  <c r="Q9" i="2"/>
  <c r="P9" i="2"/>
  <c r="O9" i="2"/>
  <c r="N9" i="2"/>
  <c r="M9" i="2"/>
  <c r="L9" i="2"/>
  <c r="K9" i="2"/>
  <c r="J9" i="2"/>
  <c r="H9" i="2"/>
  <c r="G9" i="2"/>
  <c r="F9" i="2"/>
  <c r="W10" i="2"/>
  <c r="V10" i="2"/>
  <c r="U10" i="2"/>
  <c r="T10" i="2"/>
  <c r="S10" i="2"/>
  <c r="R10" i="2"/>
  <c r="Q10" i="2"/>
  <c r="P10" i="2"/>
  <c r="O10" i="2"/>
  <c r="N10" i="2"/>
  <c r="M10" i="2"/>
  <c r="L10" i="2"/>
  <c r="K10" i="2"/>
  <c r="J10" i="2"/>
  <c r="G10" i="2"/>
  <c r="F10" i="2"/>
  <c r="E10" i="2"/>
  <c r="W11" i="2"/>
  <c r="V11" i="2"/>
  <c r="U11" i="2"/>
  <c r="T11" i="2"/>
  <c r="S11" i="2"/>
  <c r="R11" i="2"/>
  <c r="Q11" i="2"/>
  <c r="P11" i="2"/>
  <c r="O11" i="2"/>
  <c r="N11" i="2"/>
  <c r="M11" i="2"/>
  <c r="L11" i="2"/>
  <c r="I11" i="2"/>
  <c r="H11" i="2"/>
  <c r="G11" i="2"/>
  <c r="F11" i="2"/>
  <c r="S7" i="2"/>
  <c r="Q7" i="2"/>
  <c r="O7" i="2"/>
  <c r="L7" i="2"/>
  <c r="K7" i="2"/>
  <c r="J7" i="2"/>
  <c r="I7" i="2"/>
  <c r="X12" i="2"/>
  <c r="W12" i="2"/>
  <c r="V12" i="2"/>
  <c r="U12" i="2"/>
  <c r="T12" i="2"/>
  <c r="X13" i="2"/>
  <c r="W13" i="2"/>
  <c r="V13" i="2"/>
  <c r="U13" i="2"/>
  <c r="T13" i="2"/>
  <c r="S13" i="2"/>
  <c r="R13" i="2"/>
  <c r="Q13" i="2"/>
  <c r="P13" i="2"/>
  <c r="O13" i="2"/>
  <c r="N13" i="2"/>
  <c r="M13" i="2"/>
  <c r="L13" i="2"/>
  <c r="K13" i="2"/>
  <c r="I13" i="2"/>
  <c r="H13" i="2"/>
  <c r="G13" i="2"/>
  <c r="F13" i="2"/>
  <c r="S14" i="2"/>
  <c r="R14" i="2"/>
  <c r="P14" i="2"/>
  <c r="L14" i="2"/>
  <c r="K14" i="2"/>
  <c r="J14" i="2"/>
  <c r="I14" i="2"/>
  <c r="H14" i="2"/>
  <c r="G14" i="2"/>
  <c r="F14" i="2"/>
  <c r="X15" i="2"/>
  <c r="W15" i="2"/>
  <c r="U15" i="2"/>
  <c r="T15" i="2"/>
  <c r="S15" i="2"/>
  <c r="R15" i="2"/>
  <c r="Q15" i="2"/>
  <c r="P15" i="2"/>
  <c r="O15" i="2"/>
  <c r="N15" i="2"/>
  <c r="M15" i="2"/>
  <c r="L15" i="2"/>
  <c r="K15" i="2"/>
  <c r="I15" i="2"/>
  <c r="H15" i="2"/>
  <c r="F15" i="2"/>
  <c r="X16" i="2"/>
  <c r="V16" i="2"/>
  <c r="U16" i="2"/>
  <c r="T16" i="2"/>
  <c r="Q16" i="2"/>
  <c r="P16" i="2"/>
  <c r="O16" i="2"/>
  <c r="N16" i="2"/>
  <c r="M16" i="2"/>
  <c r="L16" i="2"/>
  <c r="K16" i="2"/>
  <c r="J16" i="2"/>
  <c r="I16" i="2"/>
  <c r="H16" i="2"/>
  <c r="G16" i="2"/>
  <c r="F16" i="2"/>
  <c r="X17" i="2"/>
  <c r="W17" i="2"/>
  <c r="U17" i="2"/>
  <c r="T17" i="2"/>
  <c r="S17" i="2"/>
  <c r="R17" i="2"/>
  <c r="Q17" i="2"/>
  <c r="P17" i="2"/>
  <c r="O17" i="2"/>
  <c r="N17" i="2"/>
  <c r="M17" i="2"/>
  <c r="L17" i="2"/>
  <c r="W18" i="2"/>
  <c r="V18" i="2"/>
  <c r="R18" i="2"/>
  <c r="Q18" i="2"/>
  <c r="P18" i="2"/>
  <c r="O18" i="2"/>
  <c r="M18" i="2"/>
  <c r="L18" i="2"/>
  <c r="K18" i="2"/>
  <c r="J18" i="2"/>
  <c r="I18" i="2"/>
  <c r="H18" i="2"/>
  <c r="G18" i="2"/>
  <c r="W19" i="2"/>
  <c r="V19" i="2"/>
  <c r="X20" i="2"/>
  <c r="W20" i="2"/>
  <c r="V20" i="2"/>
  <c r="T20" i="2"/>
  <c r="S20" i="2"/>
  <c r="R20" i="2"/>
  <c r="Q20" i="2"/>
  <c r="P20" i="2"/>
  <c r="O20" i="2"/>
  <c r="N20" i="2"/>
  <c r="M20" i="2"/>
  <c r="L20" i="2"/>
  <c r="K20" i="2"/>
  <c r="J20" i="2"/>
  <c r="I20" i="2"/>
  <c r="H20" i="2"/>
  <c r="G20" i="2"/>
  <c r="F20" i="2"/>
  <c r="W21" i="2"/>
  <c r="V21" i="2"/>
  <c r="U21" i="2"/>
  <c r="T21" i="2"/>
  <c r="S21" i="2"/>
  <c r="P21" i="2"/>
  <c r="O21" i="2"/>
  <c r="N21" i="2"/>
  <c r="M21" i="2"/>
  <c r="L21" i="2"/>
  <c r="K21" i="2"/>
  <c r="J21" i="2"/>
  <c r="H21" i="2"/>
  <c r="G21" i="2"/>
  <c r="F21" i="2"/>
  <c r="L22" i="2"/>
  <c r="K22" i="2"/>
  <c r="J22" i="2"/>
  <c r="I22" i="2"/>
  <c r="H22" i="2"/>
  <c r="G22" i="2"/>
  <c r="F22" i="2"/>
  <c r="S23" i="2"/>
  <c r="R23" i="2"/>
  <c r="Q23" i="2"/>
  <c r="W24" i="2"/>
  <c r="V24" i="2"/>
  <c r="U24" i="2"/>
  <c r="T24" i="2"/>
  <c r="S24" i="2"/>
  <c r="R24" i="2"/>
  <c r="Q24" i="2"/>
  <c r="P24" i="2"/>
  <c r="O24" i="2"/>
  <c r="N24" i="2"/>
  <c r="M24" i="2"/>
  <c r="L24" i="2"/>
  <c r="K24" i="2"/>
  <c r="J24" i="2"/>
  <c r="I24" i="2"/>
  <c r="G24" i="2"/>
  <c r="F24" i="2"/>
  <c r="R25" i="2"/>
  <c r="Q25" i="2"/>
  <c r="P25" i="2"/>
  <c r="R4" i="15"/>
  <c r="Y18" i="14"/>
  <c r="X18" i="14"/>
  <c r="Y13" i="14"/>
  <c r="X13" i="14"/>
  <c r="Y8" i="14"/>
  <c r="X8" i="14"/>
  <c r="R4" i="14"/>
  <c r="S4" i="13"/>
  <c r="R4" i="13"/>
  <c r="M13" i="12"/>
  <c r="Z13" i="12" s="1"/>
  <c r="T4" i="15"/>
  <c r="L57" i="1" s="1"/>
  <c r="F49" i="1"/>
  <c r="S122" i="12"/>
  <c r="K57" i="1"/>
  <c r="F117" i="7"/>
  <c r="E117" i="7"/>
  <c r="H105" i="8"/>
  <c r="X4" i="15"/>
  <c r="R5" i="15"/>
  <c r="T5" i="15" s="1"/>
  <c r="L58" i="1" s="1"/>
  <c r="F57" i="1"/>
  <c r="S8" i="15"/>
  <c r="S5" i="15" s="1"/>
  <c r="M8" i="15"/>
  <c r="Z8" i="15" s="1"/>
  <c r="K8" i="15"/>
  <c r="S3" i="15"/>
  <c r="K56" i="1" s="1"/>
  <c r="R3" i="15"/>
  <c r="F56" i="1" s="1"/>
  <c r="M3" i="15"/>
  <c r="AB2" i="15"/>
  <c r="AA2" i="15"/>
  <c r="Z2" i="15"/>
  <c r="S5" i="14"/>
  <c r="R5" i="14"/>
  <c r="T5" i="14" s="1"/>
  <c r="L54" i="1" s="1"/>
  <c r="F113" i="7"/>
  <c r="E113" i="7"/>
  <c r="F110" i="7"/>
  <c r="E110" i="7"/>
  <c r="R18" i="14"/>
  <c r="S18" i="14" s="1"/>
  <c r="R20" i="14"/>
  <c r="T20" i="14" s="1"/>
  <c r="M18" i="14" s="1"/>
  <c r="Z18" i="14" s="1"/>
  <c r="S19" i="14"/>
  <c r="M19" i="14"/>
  <c r="Z19" i="14" s="1"/>
  <c r="K19" i="14"/>
  <c r="K18" i="14"/>
  <c r="F112" i="7"/>
  <c r="E112" i="7"/>
  <c r="R13" i="14"/>
  <c r="S13" i="14" s="1"/>
  <c r="R15" i="14"/>
  <c r="T15" i="14" s="1"/>
  <c r="M13" i="14" s="1"/>
  <c r="Z13" i="14" s="1"/>
  <c r="S14" i="14"/>
  <c r="M14" i="14"/>
  <c r="Z14" i="14" s="1"/>
  <c r="K14" i="14"/>
  <c r="K13" i="14"/>
  <c r="F111" i="7"/>
  <c r="E111" i="7"/>
  <c r="R8" i="14"/>
  <c r="T8" i="14" s="1"/>
  <c r="R10" i="14"/>
  <c r="M8" i="14"/>
  <c r="Z8" i="14" s="1"/>
  <c r="K8" i="14"/>
  <c r="F54" i="1"/>
  <c r="F52" i="1"/>
  <c r="X4" i="14"/>
  <c r="G54" i="1"/>
  <c r="S9" i="14"/>
  <c r="M9" i="14"/>
  <c r="Z9" i="14" s="1"/>
  <c r="K9" i="14"/>
  <c r="W3" i="14"/>
  <c r="N52" i="1" s="1"/>
  <c r="S3" i="14"/>
  <c r="K52" i="1" s="1"/>
  <c r="R3" i="14"/>
  <c r="T3" i="14" s="1"/>
  <c r="L52" i="1" s="1"/>
  <c r="M3" i="14"/>
  <c r="AB2" i="14"/>
  <c r="AA2" i="14"/>
  <c r="Z2" i="14"/>
  <c r="F48" i="1"/>
  <c r="F106" i="7"/>
  <c r="E106" i="7"/>
  <c r="F105" i="8"/>
  <c r="Y4" i="13"/>
  <c r="X4" i="13"/>
  <c r="R5" i="13"/>
  <c r="F50" i="1" s="1"/>
  <c r="S8" i="13"/>
  <c r="S5" i="13" s="1"/>
  <c r="K50" i="1" s="1"/>
  <c r="M8" i="13"/>
  <c r="Z8" i="13" s="1"/>
  <c r="K8" i="13"/>
  <c r="W3" i="13"/>
  <c r="N48" i="1" s="1"/>
  <c r="S3" i="13"/>
  <c r="K48" i="1" s="1"/>
  <c r="R3" i="13"/>
  <c r="T3" i="13" s="1"/>
  <c r="L48" i="1" s="1"/>
  <c r="M3" i="13"/>
  <c r="AB2" i="13"/>
  <c r="AA2" i="13"/>
  <c r="Z2" i="13"/>
  <c r="F102" i="7"/>
  <c r="E102" i="7"/>
  <c r="F68" i="7"/>
  <c r="F97" i="7"/>
  <c r="R173" i="12"/>
  <c r="T173" i="12" s="1"/>
  <c r="M171" i="12" s="1"/>
  <c r="Z171" i="12" s="1"/>
  <c r="S172" i="12"/>
  <c r="M172" i="12"/>
  <c r="Z172" i="12" s="1"/>
  <c r="K172" i="12"/>
  <c r="K171" i="12"/>
  <c r="F101" i="7"/>
  <c r="E101" i="7"/>
  <c r="R168" i="12"/>
  <c r="T168" i="12" s="1"/>
  <c r="M166" i="12" s="1"/>
  <c r="Z166" i="12" s="1"/>
  <c r="S167" i="12"/>
  <c r="M167" i="12"/>
  <c r="Z167" i="12" s="1"/>
  <c r="K167" i="12"/>
  <c r="K166" i="12"/>
  <c r="F100" i="7"/>
  <c r="E100" i="7"/>
  <c r="R163" i="12"/>
  <c r="T163" i="12" s="1"/>
  <c r="M161" i="12" s="1"/>
  <c r="Z161" i="12" s="1"/>
  <c r="S162" i="12"/>
  <c r="M162" i="12"/>
  <c r="Z162" i="12" s="1"/>
  <c r="K162" i="12"/>
  <c r="K161" i="12"/>
  <c r="F99" i="7"/>
  <c r="E99" i="7"/>
  <c r="R158" i="12"/>
  <c r="T158" i="12" s="1"/>
  <c r="M156" i="12" s="1"/>
  <c r="Z156" i="12" s="1"/>
  <c r="S157" i="12"/>
  <c r="M157" i="12"/>
  <c r="Z157" i="12" s="1"/>
  <c r="K157" i="12"/>
  <c r="K156" i="12"/>
  <c r="R153" i="12"/>
  <c r="T153" i="12" s="1"/>
  <c r="M147" i="12" s="1"/>
  <c r="Z147" i="12" s="1"/>
  <c r="F98" i="7"/>
  <c r="E98" i="7"/>
  <c r="K151" i="12"/>
  <c r="E97" i="7"/>
  <c r="S152" i="12"/>
  <c r="S153" i="12" s="1"/>
  <c r="M152" i="12"/>
  <c r="Z152" i="12" s="1"/>
  <c r="K152" i="12"/>
  <c r="K147" i="12"/>
  <c r="F78" i="7"/>
  <c r="E78" i="7"/>
  <c r="F69" i="7"/>
  <c r="R54" i="12"/>
  <c r="T54" i="12" s="1"/>
  <c r="M52" i="12" s="1"/>
  <c r="Z52" i="12" s="1"/>
  <c r="S53" i="12"/>
  <c r="M53" i="12"/>
  <c r="Z53" i="12" s="1"/>
  <c r="K53" i="12"/>
  <c r="K52" i="12"/>
  <c r="F77" i="7"/>
  <c r="E77" i="7"/>
  <c r="R49" i="12"/>
  <c r="T49" i="12" s="1"/>
  <c r="M47" i="12" s="1"/>
  <c r="Z47" i="12" s="1"/>
  <c r="S48" i="12"/>
  <c r="M48" i="12"/>
  <c r="Z48" i="12" s="1"/>
  <c r="K48" i="12"/>
  <c r="K47" i="12"/>
  <c r="F76" i="7"/>
  <c r="E76" i="7"/>
  <c r="R44" i="12"/>
  <c r="S43" i="12"/>
  <c r="M43" i="12"/>
  <c r="Z43" i="12" s="1"/>
  <c r="K43" i="12"/>
  <c r="K42" i="12"/>
  <c r="F75" i="7"/>
  <c r="E75" i="7"/>
  <c r="R39" i="12"/>
  <c r="T39" i="12" s="1"/>
  <c r="M37" i="12" s="1"/>
  <c r="Z37" i="12" s="1"/>
  <c r="S38" i="12"/>
  <c r="M38" i="12"/>
  <c r="Z38" i="12" s="1"/>
  <c r="K38" i="12"/>
  <c r="K37" i="12"/>
  <c r="F74" i="7"/>
  <c r="E74" i="7"/>
  <c r="R34" i="12"/>
  <c r="T34" i="12" s="1"/>
  <c r="M32" i="12" s="1"/>
  <c r="Z32" i="12" s="1"/>
  <c r="S33" i="12"/>
  <c r="M33" i="12"/>
  <c r="Z33" i="12" s="1"/>
  <c r="K33" i="12"/>
  <c r="K32" i="12"/>
  <c r="F73" i="7"/>
  <c r="E73" i="7"/>
  <c r="R29" i="12"/>
  <c r="T29" i="12" s="1"/>
  <c r="M27" i="12" s="1"/>
  <c r="Z27" i="12" s="1"/>
  <c r="S28" i="12"/>
  <c r="M28" i="12"/>
  <c r="Z28" i="12" s="1"/>
  <c r="K28" i="12"/>
  <c r="K27" i="12"/>
  <c r="F72" i="7"/>
  <c r="E72" i="7"/>
  <c r="R24" i="12"/>
  <c r="T24" i="12" s="1"/>
  <c r="M22" i="12" s="1"/>
  <c r="Z22" i="12" s="1"/>
  <c r="S23" i="12"/>
  <c r="M23" i="12"/>
  <c r="Z23" i="12" s="1"/>
  <c r="K23" i="12"/>
  <c r="K22" i="12"/>
  <c r="F96" i="7"/>
  <c r="E96" i="7"/>
  <c r="R144" i="12"/>
  <c r="T144" i="12" s="1"/>
  <c r="M142" i="12" s="1"/>
  <c r="Z142" i="12" s="1"/>
  <c r="S143" i="12"/>
  <c r="M143" i="12"/>
  <c r="Z143" i="12" s="1"/>
  <c r="K143" i="12"/>
  <c r="K142" i="12"/>
  <c r="F95" i="7"/>
  <c r="E95" i="7"/>
  <c r="R139" i="12"/>
  <c r="T139" i="12" s="1"/>
  <c r="M137" i="12" s="1"/>
  <c r="Z137" i="12" s="1"/>
  <c r="S138" i="12"/>
  <c r="M138" i="12"/>
  <c r="Z138" i="12" s="1"/>
  <c r="K138" i="12"/>
  <c r="K137" i="12"/>
  <c r="F94" i="7"/>
  <c r="E94" i="7"/>
  <c r="R134" i="12"/>
  <c r="S133" i="12"/>
  <c r="M133" i="12"/>
  <c r="Z133" i="12" s="1"/>
  <c r="K133" i="12"/>
  <c r="K132" i="12"/>
  <c r="F93" i="7"/>
  <c r="E93" i="7"/>
  <c r="R129" i="12"/>
  <c r="T129" i="12" s="1"/>
  <c r="M127" i="12" s="1"/>
  <c r="Z127" i="12" s="1"/>
  <c r="S128" i="12"/>
  <c r="M128" i="12"/>
  <c r="Z128" i="12" s="1"/>
  <c r="K128" i="12"/>
  <c r="K127" i="12"/>
  <c r="F92" i="7"/>
  <c r="E92" i="7"/>
  <c r="R124" i="12"/>
  <c r="T124" i="12" s="1"/>
  <c r="M122" i="12" s="1"/>
  <c r="Z122" i="12" s="1"/>
  <c r="S123" i="12"/>
  <c r="M123" i="12"/>
  <c r="Z123" i="12" s="1"/>
  <c r="K123" i="12"/>
  <c r="K122" i="12"/>
  <c r="F91" i="7"/>
  <c r="E91" i="7"/>
  <c r="R119" i="12"/>
  <c r="T119" i="12" s="1"/>
  <c r="M117" i="12" s="1"/>
  <c r="Z117" i="12" s="1"/>
  <c r="S118" i="12"/>
  <c r="M118" i="12"/>
  <c r="Z118" i="12" s="1"/>
  <c r="K118" i="12"/>
  <c r="K117" i="12"/>
  <c r="F90" i="7"/>
  <c r="E90" i="7"/>
  <c r="R114" i="12"/>
  <c r="T114" i="12" s="1"/>
  <c r="M112" i="12" s="1"/>
  <c r="Z112" i="12" s="1"/>
  <c r="S113" i="12"/>
  <c r="M113" i="12"/>
  <c r="Z113" i="12" s="1"/>
  <c r="K113" i="12"/>
  <c r="K112" i="12"/>
  <c r="F89" i="7"/>
  <c r="E89" i="7"/>
  <c r="R109" i="12"/>
  <c r="T109" i="12" s="1"/>
  <c r="M107" i="12" s="1"/>
  <c r="Z107" i="12" s="1"/>
  <c r="S108" i="12"/>
  <c r="M108" i="12"/>
  <c r="Z108" i="12" s="1"/>
  <c r="K108" i="12"/>
  <c r="K107" i="12"/>
  <c r="F71" i="7"/>
  <c r="E71" i="7"/>
  <c r="R19" i="12"/>
  <c r="T19" i="12" s="1"/>
  <c r="M17" i="12" s="1"/>
  <c r="Z17" i="12" s="1"/>
  <c r="S18" i="12"/>
  <c r="M18" i="12"/>
  <c r="Z18" i="12" s="1"/>
  <c r="K18" i="12"/>
  <c r="K17" i="12"/>
  <c r="F88" i="7"/>
  <c r="E88" i="7"/>
  <c r="R104" i="12"/>
  <c r="T104" i="12" s="1"/>
  <c r="M102" i="12" s="1"/>
  <c r="Z102" i="12" s="1"/>
  <c r="S103" i="12"/>
  <c r="M103" i="12"/>
  <c r="Z103" i="12" s="1"/>
  <c r="K103" i="12"/>
  <c r="K102" i="12"/>
  <c r="F87" i="7"/>
  <c r="E87" i="7"/>
  <c r="R99" i="12"/>
  <c r="T99" i="12" s="1"/>
  <c r="M97" i="12" s="1"/>
  <c r="Z97" i="12" s="1"/>
  <c r="S98" i="12"/>
  <c r="M98" i="12"/>
  <c r="Z98" i="12" s="1"/>
  <c r="K98" i="12"/>
  <c r="K97" i="12"/>
  <c r="F86" i="7"/>
  <c r="E86" i="7"/>
  <c r="R94" i="12"/>
  <c r="T94" i="12" s="1"/>
  <c r="M92" i="12" s="1"/>
  <c r="Z92" i="12" s="1"/>
  <c r="S93" i="12"/>
  <c r="M93" i="12"/>
  <c r="Z93" i="12" s="1"/>
  <c r="K93" i="12"/>
  <c r="K92" i="12"/>
  <c r="F85" i="7"/>
  <c r="E85" i="7"/>
  <c r="R89" i="12"/>
  <c r="S88" i="12"/>
  <c r="M88" i="12"/>
  <c r="Z88" i="12" s="1"/>
  <c r="K88" i="12"/>
  <c r="K87" i="12"/>
  <c r="F84" i="7"/>
  <c r="E84" i="7"/>
  <c r="R84" i="12"/>
  <c r="T84" i="12" s="1"/>
  <c r="M82" i="12" s="1"/>
  <c r="Z82" i="12" s="1"/>
  <c r="S83" i="12"/>
  <c r="M83" i="12"/>
  <c r="Z83" i="12" s="1"/>
  <c r="K83" i="12"/>
  <c r="K82" i="12"/>
  <c r="F83" i="7"/>
  <c r="E83" i="7"/>
  <c r="R79" i="12"/>
  <c r="T79" i="12" s="1"/>
  <c r="M77" i="12" s="1"/>
  <c r="Z77" i="12" s="1"/>
  <c r="S78" i="12"/>
  <c r="M78" i="12"/>
  <c r="Z78" i="12" s="1"/>
  <c r="K78" i="12"/>
  <c r="K77" i="12"/>
  <c r="F82" i="7"/>
  <c r="E82" i="7"/>
  <c r="R74" i="12"/>
  <c r="T74" i="12" s="1"/>
  <c r="M72" i="12" s="1"/>
  <c r="Z72" i="12" s="1"/>
  <c r="S73" i="12"/>
  <c r="M73" i="12"/>
  <c r="Z73" i="12" s="1"/>
  <c r="K73" i="12"/>
  <c r="K72" i="12"/>
  <c r="F81" i="7"/>
  <c r="E81" i="7"/>
  <c r="R69" i="12"/>
  <c r="T69" i="12" s="1"/>
  <c r="M67" i="12" s="1"/>
  <c r="Z67" i="12" s="1"/>
  <c r="S68" i="12"/>
  <c r="M68" i="12"/>
  <c r="Z68" i="12" s="1"/>
  <c r="K68" i="12"/>
  <c r="K67" i="12"/>
  <c r="F80" i="7"/>
  <c r="E80" i="7"/>
  <c r="R64" i="12"/>
  <c r="T64" i="12" s="1"/>
  <c r="M62" i="12" s="1"/>
  <c r="Z62" i="12" s="1"/>
  <c r="S63" i="12"/>
  <c r="M63" i="12"/>
  <c r="Z63" i="12" s="1"/>
  <c r="K63" i="12"/>
  <c r="K62" i="12"/>
  <c r="F79" i="7"/>
  <c r="E79" i="7"/>
  <c r="R59" i="12"/>
  <c r="T59" i="12" s="1"/>
  <c r="M57" i="12" s="1"/>
  <c r="Z57" i="12" s="1"/>
  <c r="S58" i="12"/>
  <c r="M58" i="12"/>
  <c r="Z58" i="12" s="1"/>
  <c r="K58" i="12"/>
  <c r="K57" i="12"/>
  <c r="R14" i="12"/>
  <c r="T14" i="12" s="1"/>
  <c r="M12" i="12" s="1"/>
  <c r="Z12" i="12" s="1"/>
  <c r="F70" i="7"/>
  <c r="E70" i="7"/>
  <c r="K12" i="12"/>
  <c r="E69" i="7"/>
  <c r="E68" i="7" s="1"/>
  <c r="M8" i="12"/>
  <c r="Z8" i="12" s="1"/>
  <c r="K8" i="12"/>
  <c r="Y4" i="12"/>
  <c r="X4" i="12"/>
  <c r="S13" i="12"/>
  <c r="S14" i="12" s="1"/>
  <c r="K13" i="12"/>
  <c r="S3" i="12"/>
  <c r="K44" i="1" s="1"/>
  <c r="R3" i="12"/>
  <c r="W3" i="12" s="1"/>
  <c r="N44" i="1" s="1"/>
  <c r="M3" i="12"/>
  <c r="AB2" i="12"/>
  <c r="AA2" i="12"/>
  <c r="Z2" i="12"/>
  <c r="E49" i="7"/>
  <c r="D49" i="7"/>
  <c r="E48" i="7"/>
  <c r="D48" i="7"/>
  <c r="E47" i="7"/>
  <c r="D47" i="7"/>
  <c r="E52" i="7"/>
  <c r="D52" i="7"/>
  <c r="E45" i="7"/>
  <c r="D45" i="7"/>
  <c r="E51" i="7"/>
  <c r="D51" i="7"/>
  <c r="E46" i="7"/>
  <c r="D46" i="7"/>
  <c r="E50" i="7"/>
  <c r="D50" i="7"/>
  <c r="E27" i="7"/>
  <c r="D27" i="7"/>
  <c r="E26" i="7"/>
  <c r="D26" i="7"/>
  <c r="E38" i="7"/>
  <c r="D38" i="7"/>
  <c r="E20" i="7"/>
  <c r="D20" i="7"/>
  <c r="E24" i="7"/>
  <c r="D24" i="7"/>
  <c r="E34" i="7"/>
  <c r="D34" i="7"/>
  <c r="E33" i="7"/>
  <c r="D33" i="7"/>
  <c r="E37" i="7"/>
  <c r="D37" i="7"/>
  <c r="E32" i="7"/>
  <c r="D32" i="7"/>
  <c r="F12" i="1"/>
  <c r="F11" i="1"/>
  <c r="V4" i="10"/>
  <c r="M23" i="10"/>
  <c r="Z23" i="10" s="1"/>
  <c r="M17" i="10"/>
  <c r="Z17" i="10" s="1"/>
  <c r="M13" i="10"/>
  <c r="Z13" i="10" s="1"/>
  <c r="K23" i="10"/>
  <c r="K17" i="10"/>
  <c r="K13" i="10"/>
  <c r="S3" i="10"/>
  <c r="R3" i="10"/>
  <c r="M3" i="10"/>
  <c r="K12" i="10"/>
  <c r="S23" i="10"/>
  <c r="S47" i="12" l="1"/>
  <c r="T47" i="12" s="1"/>
  <c r="H45" i="2"/>
  <c r="I45" i="2"/>
  <c r="K45" i="2"/>
  <c r="E45" i="2"/>
  <c r="W45" i="2"/>
  <c r="W47" i="2" s="1"/>
  <c r="X47" i="2" s="1"/>
  <c r="Y47" i="2" s="1"/>
  <c r="Z47" i="2" s="1"/>
  <c r="AA47" i="2" s="1"/>
  <c r="AB47" i="2" s="1"/>
  <c r="AC47" i="2" s="1"/>
  <c r="AD47" i="2" s="1"/>
  <c r="AE47" i="2" s="1"/>
  <c r="AF47" i="2" s="1"/>
  <c r="AG47" i="2" s="1"/>
  <c r="AH47" i="2" s="1"/>
  <c r="AI47" i="2" s="1"/>
  <c r="AJ47" i="2" s="1"/>
  <c r="AK47" i="2" s="1"/>
  <c r="AL47" i="2" s="1"/>
  <c r="AM47" i="2" s="1"/>
  <c r="AN47" i="2" s="1"/>
  <c r="AO47" i="2" s="1"/>
  <c r="AP47" i="2" s="1"/>
  <c r="AQ47" i="2" s="1"/>
  <c r="AR47" i="2" s="1"/>
  <c r="AS47" i="2" s="1"/>
  <c r="AT47" i="2" s="1"/>
  <c r="AU47" i="2" s="1"/>
  <c r="F45" i="2"/>
  <c r="G45" i="2"/>
  <c r="J45" i="2"/>
  <c r="W46" i="2"/>
  <c r="X46" i="2" s="1"/>
  <c r="Y46" i="2" s="1"/>
  <c r="Z46" i="2" s="1"/>
  <c r="AA46" i="2" s="1"/>
  <c r="AB46" i="2" s="1"/>
  <c r="AC46" i="2" s="1"/>
  <c r="AD46" i="2" s="1"/>
  <c r="AE46" i="2" s="1"/>
  <c r="AF46" i="2" s="1"/>
  <c r="AG46" i="2" s="1"/>
  <c r="AH46" i="2" s="1"/>
  <c r="AI46" i="2" s="1"/>
  <c r="AJ46" i="2" s="1"/>
  <c r="AK46" i="2" s="1"/>
  <c r="AL46" i="2" s="1"/>
  <c r="AM46" i="2" s="1"/>
  <c r="AN46" i="2" s="1"/>
  <c r="AO46" i="2" s="1"/>
  <c r="AP46" i="2" s="1"/>
  <c r="AQ46" i="2" s="1"/>
  <c r="AR46" i="2" s="1"/>
  <c r="AS46" i="2" s="1"/>
  <c r="AT46" i="2" s="1"/>
  <c r="AU46" i="2" s="1"/>
  <c r="M45" i="2"/>
  <c r="L45" i="2"/>
  <c r="N45" i="2"/>
  <c r="O45" i="2"/>
  <c r="P45" i="2"/>
  <c r="Q45" i="2"/>
  <c r="R45" i="2"/>
  <c r="S45" i="2"/>
  <c r="T45" i="2"/>
  <c r="U45" i="2"/>
  <c r="V45" i="2"/>
  <c r="S8" i="12"/>
  <c r="K49" i="1"/>
  <c r="R147" i="12"/>
  <c r="F58" i="1"/>
  <c r="G58" i="1"/>
  <c r="G50" i="1"/>
  <c r="J50" i="1" s="1"/>
  <c r="S173" i="12"/>
  <c r="V171" i="12" s="1"/>
  <c r="W171" i="12" s="1"/>
  <c r="R148" i="12"/>
  <c r="T148" i="12" s="1"/>
  <c r="S4" i="14"/>
  <c r="K53" i="1" s="1"/>
  <c r="AB3" i="14"/>
  <c r="G127" i="8" s="1"/>
  <c r="AB3" i="15"/>
  <c r="H127" i="8" s="1"/>
  <c r="AA3" i="15"/>
  <c r="H126" i="8" s="1"/>
  <c r="Z3" i="15"/>
  <c r="H125" i="8" s="1"/>
  <c r="K58" i="1"/>
  <c r="V4" i="15"/>
  <c r="T3" i="15"/>
  <c r="L56" i="1" s="1"/>
  <c r="V3" i="15"/>
  <c r="M56" i="1" s="1"/>
  <c r="W3" i="15"/>
  <c r="N56" i="1" s="1"/>
  <c r="F18" i="1"/>
  <c r="Z3" i="14"/>
  <c r="G125" i="8" s="1"/>
  <c r="AA3" i="14"/>
  <c r="G126" i="8" s="1"/>
  <c r="T18" i="14"/>
  <c r="V18" i="14"/>
  <c r="W18" i="14" s="1"/>
  <c r="G7" i="8" s="1"/>
  <c r="S20" i="14"/>
  <c r="T13" i="14"/>
  <c r="S10" i="14"/>
  <c r="T10" i="14"/>
  <c r="S15" i="14"/>
  <c r="V13" i="14" s="1"/>
  <c r="W13" i="14" s="1"/>
  <c r="G6" i="8" s="1"/>
  <c r="J54" i="1"/>
  <c r="AB3" i="13"/>
  <c r="F127" i="8" s="1"/>
  <c r="AA3" i="13"/>
  <c r="F126" i="8" s="1"/>
  <c r="Z3" i="13"/>
  <c r="F125" i="8" s="1"/>
  <c r="V3" i="13"/>
  <c r="M48" i="1" s="1"/>
  <c r="V8" i="14"/>
  <c r="W8" i="14" s="1"/>
  <c r="G5" i="8" s="1"/>
  <c r="T5" i="13"/>
  <c r="L50" i="1" s="1"/>
  <c r="T171" i="12"/>
  <c r="T166" i="12"/>
  <c r="S168" i="12"/>
  <c r="V166" i="12" s="1"/>
  <c r="W166" i="12" s="1"/>
  <c r="S147" i="12"/>
  <c r="T161" i="12"/>
  <c r="S163" i="12"/>
  <c r="T156" i="12"/>
  <c r="V151" i="12"/>
  <c r="W151" i="12" s="1"/>
  <c r="S158" i="12"/>
  <c r="T151" i="12"/>
  <c r="M151" i="12"/>
  <c r="Z151" i="12" s="1"/>
  <c r="R9" i="12"/>
  <c r="R8" i="12"/>
  <c r="T52" i="12"/>
  <c r="S54" i="12"/>
  <c r="V52" i="12" s="1"/>
  <c r="W52" i="12" s="1"/>
  <c r="S44" i="12"/>
  <c r="S49" i="12"/>
  <c r="V47" i="12" s="1"/>
  <c r="W47" i="12" s="1"/>
  <c r="T44" i="12"/>
  <c r="M42" i="12" s="1"/>
  <c r="Z42" i="12" s="1"/>
  <c r="T37" i="12"/>
  <c r="S39" i="12"/>
  <c r="V37" i="12" s="1"/>
  <c r="W37" i="12" s="1"/>
  <c r="T32" i="12"/>
  <c r="S34" i="12"/>
  <c r="V32" i="12" s="1"/>
  <c r="W32" i="12" s="1"/>
  <c r="T27" i="12"/>
  <c r="S29" i="12"/>
  <c r="V27" i="12" s="1"/>
  <c r="W27" i="12" s="1"/>
  <c r="T22" i="12"/>
  <c r="S24" i="12"/>
  <c r="V22" i="12" s="1"/>
  <c r="W22" i="12" s="1"/>
  <c r="T142" i="12"/>
  <c r="S144" i="12"/>
  <c r="T137" i="12"/>
  <c r="S134" i="12"/>
  <c r="V132" i="12" s="1"/>
  <c r="W132" i="12" s="1"/>
  <c r="S139" i="12"/>
  <c r="V137" i="12" s="1"/>
  <c r="W137" i="12" s="1"/>
  <c r="T134" i="12"/>
  <c r="M132" i="12" s="1"/>
  <c r="Z132" i="12" s="1"/>
  <c r="T127" i="12"/>
  <c r="S129" i="12"/>
  <c r="V127" i="12" s="1"/>
  <c r="W127" i="12" s="1"/>
  <c r="T122" i="12"/>
  <c r="S124" i="12"/>
  <c r="V122" i="12" s="1"/>
  <c r="W122" i="12" s="1"/>
  <c r="T117" i="12"/>
  <c r="S119" i="12"/>
  <c r="V117" i="12" s="1"/>
  <c r="W117" i="12" s="1"/>
  <c r="T112" i="12"/>
  <c r="S114" i="12"/>
  <c r="V112" i="12" s="1"/>
  <c r="W112" i="12" s="1"/>
  <c r="T107" i="12"/>
  <c r="S109" i="12"/>
  <c r="V107" i="12" s="1"/>
  <c r="W107" i="12" s="1"/>
  <c r="T17" i="12"/>
  <c r="S19" i="12"/>
  <c r="T102" i="12"/>
  <c r="S104" i="12"/>
  <c r="V102" i="12" s="1"/>
  <c r="W102" i="12" s="1"/>
  <c r="T97" i="12"/>
  <c r="S99" i="12"/>
  <c r="V97" i="12" s="1"/>
  <c r="W97" i="12" s="1"/>
  <c r="T92" i="12"/>
  <c r="S89" i="12"/>
  <c r="S94" i="12"/>
  <c r="V92" i="12" s="1"/>
  <c r="W92" i="12" s="1"/>
  <c r="T89" i="12"/>
  <c r="M87" i="12" s="1"/>
  <c r="Z87" i="12" s="1"/>
  <c r="F24" i="7"/>
  <c r="F20" i="7"/>
  <c r="T82" i="12"/>
  <c r="S84" i="12"/>
  <c r="V82" i="12" s="1"/>
  <c r="W82" i="12" s="1"/>
  <c r="T77" i="12"/>
  <c r="S79" i="12"/>
  <c r="V77" i="12" s="1"/>
  <c r="W77" i="12" s="1"/>
  <c r="F26" i="7"/>
  <c r="T72" i="12"/>
  <c r="S74" i="12"/>
  <c r="V72" i="12" s="1"/>
  <c r="W72" i="12" s="1"/>
  <c r="T67" i="12"/>
  <c r="S69" i="12"/>
  <c r="V67" i="12" s="1"/>
  <c r="W67" i="12" s="1"/>
  <c r="T62" i="12"/>
  <c r="S64" i="12"/>
  <c r="V62" i="12" s="1"/>
  <c r="W62" i="12" s="1"/>
  <c r="T57" i="12"/>
  <c r="V12" i="12"/>
  <c r="W12" i="12" s="1"/>
  <c r="S59" i="12"/>
  <c r="F38" i="7"/>
  <c r="T12" i="12"/>
  <c r="F33" i="7"/>
  <c r="F37" i="7"/>
  <c r="F34" i="7"/>
  <c r="F44" i="1"/>
  <c r="F27" i="7"/>
  <c r="F32" i="7"/>
  <c r="T3" i="12"/>
  <c r="L44" i="1" s="1"/>
  <c r="F13" i="1"/>
  <c r="F21" i="1"/>
  <c r="G12" i="1"/>
  <c r="G17" i="1"/>
  <c r="F22" i="1" s="1"/>
  <c r="V3" i="10"/>
  <c r="W3" i="10" s="1"/>
  <c r="V87" i="12" l="1"/>
  <c r="W87" i="12" s="1"/>
  <c r="T87" i="12"/>
  <c r="S148" i="12"/>
  <c r="V147" i="12" s="1"/>
  <c r="W147" i="12" s="1"/>
  <c r="E6" i="8" s="1"/>
  <c r="R5" i="12"/>
  <c r="I50" i="1"/>
  <c r="J58" i="1"/>
  <c r="I58" i="1" s="1"/>
  <c r="V4" i="13"/>
  <c r="T4" i="13"/>
  <c r="L49" i="1" s="1"/>
  <c r="G128" i="8"/>
  <c r="M57" i="1"/>
  <c r="W4" i="15"/>
  <c r="H128" i="8"/>
  <c r="F128" i="8"/>
  <c r="K54" i="1"/>
  <c r="I54" i="1" s="1"/>
  <c r="G105" i="8"/>
  <c r="AB3" i="12"/>
  <c r="E127" i="8" s="1"/>
  <c r="V3" i="14"/>
  <c r="M52" i="1" s="1"/>
  <c r="F53" i="1"/>
  <c r="T4" i="14"/>
  <c r="L53" i="1" s="1"/>
  <c r="V4" i="14"/>
  <c r="Z3" i="12"/>
  <c r="E125" i="8" s="1"/>
  <c r="AA3" i="12"/>
  <c r="E126" i="8" s="1"/>
  <c r="T147" i="12"/>
  <c r="V161" i="12"/>
  <c r="W161" i="12" s="1"/>
  <c r="V156" i="12"/>
  <c r="W156" i="12" s="1"/>
  <c r="V142" i="12"/>
  <c r="W142" i="12" s="1"/>
  <c r="V42" i="12"/>
  <c r="W42" i="12" s="1"/>
  <c r="T42" i="12"/>
  <c r="S9" i="12"/>
  <c r="S5" i="12" s="1"/>
  <c r="K45" i="1"/>
  <c r="V17" i="12"/>
  <c r="W17" i="12" s="1"/>
  <c r="V57" i="12"/>
  <c r="W57" i="12" s="1"/>
  <c r="T8" i="12"/>
  <c r="T9" i="12"/>
  <c r="F52" i="7"/>
  <c r="F51" i="7"/>
  <c r="F29" i="7"/>
  <c r="M49" i="1" l="1"/>
  <c r="W4" i="13"/>
  <c r="F19" i="1"/>
  <c r="F20" i="1"/>
  <c r="J110" i="8"/>
  <c r="N57" i="1"/>
  <c r="M53" i="1"/>
  <c r="W4" i="14"/>
  <c r="K46" i="1"/>
  <c r="G26" i="1" s="1"/>
  <c r="F31" i="1" s="1"/>
  <c r="E128" i="8"/>
  <c r="V8" i="12"/>
  <c r="W8" i="12" s="1"/>
  <c r="E5" i="8" s="1"/>
  <c r="E105" i="8" s="1"/>
  <c r="G46" i="1"/>
  <c r="G25" i="1" s="1"/>
  <c r="F26" i="1" s="1"/>
  <c r="T5" i="12"/>
  <c r="L46" i="1" s="1"/>
  <c r="V3" i="12"/>
  <c r="M44" i="1" s="1"/>
  <c r="F46" i="1"/>
  <c r="F25" i="1" s="1"/>
  <c r="V4" i="12"/>
  <c r="F45" i="1"/>
  <c r="T4" i="12"/>
  <c r="L45" i="1" s="1"/>
  <c r="K16" i="10"/>
  <c r="K8" i="10"/>
  <c r="K16" i="7"/>
  <c r="J16" i="7"/>
  <c r="J15" i="7"/>
  <c r="K15" i="7"/>
  <c r="K14" i="7"/>
  <c r="J14" i="7"/>
  <c r="I14" i="7"/>
  <c r="K31" i="7"/>
  <c r="J31" i="7"/>
  <c r="K30" i="7"/>
  <c r="J30" i="7"/>
  <c r="I31" i="7"/>
  <c r="I30" i="7"/>
  <c r="M8" i="10"/>
  <c r="Z8" i="10" s="1"/>
  <c r="S17" i="10"/>
  <c r="S13" i="10"/>
  <c r="W16" i="10"/>
  <c r="W8" i="10"/>
  <c r="V8" i="10"/>
  <c r="W4" i="10"/>
  <c r="F28" i="1" l="1"/>
  <c r="F29" i="1"/>
  <c r="H110" i="8"/>
  <c r="N49" i="1"/>
  <c r="N53" i="1"/>
  <c r="I110" i="8"/>
  <c r="D36" i="2"/>
  <c r="F30" i="1"/>
  <c r="J46" i="1"/>
  <c r="I46" i="1" s="1"/>
  <c r="W4" i="12"/>
  <c r="M45" i="1"/>
  <c r="F27" i="1"/>
  <c r="L14" i="7"/>
  <c r="L16" i="7"/>
  <c r="L15" i="7"/>
  <c r="T3" i="10"/>
  <c r="C38" i="7"/>
  <c r="C37" i="7"/>
  <c r="C34" i="7"/>
  <c r="C33" i="7"/>
  <c r="C32" i="7"/>
  <c r="D35" i="2" l="1"/>
  <c r="N45" i="1"/>
  <c r="G110" i="8"/>
  <c r="R18" i="10"/>
  <c r="S18" i="10" s="1"/>
  <c r="T9" i="10"/>
  <c r="T5" i="10"/>
  <c r="T4" i="10"/>
  <c r="V16" i="10" l="1"/>
  <c r="T16" i="10"/>
  <c r="E41" i="7" l="1"/>
  <c r="D41" i="7"/>
  <c r="E40" i="7"/>
  <c r="D40" i="7"/>
  <c r="E39" i="7"/>
  <c r="D39" i="7"/>
  <c r="E28" i="7"/>
  <c r="D28" i="7"/>
  <c r="E18" i="7"/>
  <c r="D18" i="7"/>
  <c r="D110" i="8"/>
  <c r="D111" i="8"/>
  <c r="D112" i="8"/>
  <c r="C5" i="8"/>
  <c r="C111" i="8"/>
  <c r="C112" i="8"/>
  <c r="C110" i="8"/>
  <c r="T8" i="10"/>
  <c r="T12" i="10" l="1"/>
  <c r="F41" i="7"/>
  <c r="F40" i="7"/>
  <c r="F39" i="7"/>
  <c r="T18" i="10"/>
  <c r="M16" i="10" s="1"/>
  <c r="Z16" i="10" s="1"/>
  <c r="AB2" i="10"/>
  <c r="AA2" i="10"/>
  <c r="Z2" i="10"/>
  <c r="G4" i="9"/>
  <c r="I4" i="9" s="1"/>
  <c r="F11" i="9"/>
  <c r="H10" i="9"/>
  <c r="G10" i="9"/>
  <c r="F8" i="9"/>
  <c r="H7" i="9"/>
  <c r="G7" i="9"/>
  <c r="F5" i="9"/>
  <c r="H4" i="9"/>
  <c r="I10" i="9" l="1"/>
  <c r="I7" i="9"/>
  <c r="D105" i="8"/>
  <c r="D47" i="2" l="1" a="1"/>
  <c r="D47" i="2" s="1"/>
  <c r="C6" i="8"/>
  <c r="C7" i="8"/>
  <c r="C16" i="7" l="1"/>
  <c r="C17" i="7"/>
  <c r="E36" i="7"/>
  <c r="E35" i="7"/>
  <c r="D36" i="7"/>
  <c r="D35" i="7"/>
  <c r="C36" i="7"/>
  <c r="C35" i="7"/>
  <c r="C30" i="7"/>
  <c r="C25" i="7"/>
  <c r="C21" i="7"/>
  <c r="E31" i="7"/>
  <c r="D31" i="7"/>
  <c r="C31" i="7"/>
  <c r="F35" i="7" l="1"/>
  <c r="F36" i="7"/>
  <c r="F31" i="7"/>
  <c r="F28" i="7"/>
  <c r="K39" i="7"/>
  <c r="J39" i="7"/>
  <c r="K38" i="7"/>
  <c r="J38" i="7"/>
  <c r="K37" i="7"/>
  <c r="J37" i="7"/>
  <c r="I37" i="7"/>
  <c r="K36" i="7"/>
  <c r="J36" i="7"/>
  <c r="I36" i="7"/>
  <c r="H36" i="7"/>
  <c r="H37" i="7" s="1"/>
  <c r="H38" i="7" s="1"/>
  <c r="H39" i="7" s="1"/>
  <c r="K35" i="7"/>
  <c r="J35" i="7"/>
  <c r="I35" i="7"/>
  <c r="H31" i="7"/>
  <c r="K26" i="7"/>
  <c r="J26" i="7"/>
  <c r="I26" i="7"/>
  <c r="K25" i="7"/>
  <c r="J25" i="7"/>
  <c r="I25" i="7"/>
  <c r="K24" i="7"/>
  <c r="J24" i="7"/>
  <c r="I24" i="7"/>
  <c r="K23" i="7"/>
  <c r="J23" i="7"/>
  <c r="I23" i="7"/>
  <c r="K22" i="7"/>
  <c r="J22" i="7"/>
  <c r="I22" i="7"/>
  <c r="K21" i="7"/>
  <c r="J21" i="7"/>
  <c r="I21" i="7"/>
  <c r="H21" i="7"/>
  <c r="H22" i="7" s="1"/>
  <c r="H23" i="7" s="1"/>
  <c r="H24" i="7" s="1"/>
  <c r="H25" i="7" s="1"/>
  <c r="H26" i="7" s="1"/>
  <c r="K20" i="7"/>
  <c r="J20" i="7"/>
  <c r="I20" i="7"/>
  <c r="K13" i="7"/>
  <c r="J13" i="7"/>
  <c r="I13" i="7"/>
  <c r="K12" i="7"/>
  <c r="J12" i="7"/>
  <c r="I12" i="7"/>
  <c r="K11" i="7"/>
  <c r="J11" i="7"/>
  <c r="I11" i="7"/>
  <c r="K10" i="7"/>
  <c r="J10" i="7"/>
  <c r="I10" i="7"/>
  <c r="K9" i="7"/>
  <c r="J9" i="7"/>
  <c r="I9" i="7"/>
  <c r="K8" i="7"/>
  <c r="J8" i="7"/>
  <c r="I8" i="7"/>
  <c r="K7" i="7"/>
  <c r="J7" i="7"/>
  <c r="I7" i="7"/>
  <c r="H7" i="7"/>
  <c r="H8" i="7" s="1"/>
  <c r="H9" i="7" s="1"/>
  <c r="H10" i="7" s="1"/>
  <c r="H11" i="7" s="1"/>
  <c r="H12" i="7" s="1"/>
  <c r="H13" i="7" s="1"/>
  <c r="K6" i="7"/>
  <c r="J6" i="7"/>
  <c r="I6" i="7"/>
  <c r="E59" i="7"/>
  <c r="D59" i="7"/>
  <c r="C59" i="7"/>
  <c r="E58" i="7"/>
  <c r="D58" i="7"/>
  <c r="C58" i="7"/>
  <c r="E57" i="7"/>
  <c r="D57" i="7"/>
  <c r="C57" i="7"/>
  <c r="B57" i="7"/>
  <c r="B58" i="7" s="1"/>
  <c r="E56" i="7"/>
  <c r="D56" i="7"/>
  <c r="C56" i="7"/>
  <c r="B46" i="7"/>
  <c r="B47" i="7" s="1"/>
  <c r="B48" i="7" s="1"/>
  <c r="B49" i="7" s="1"/>
  <c r="B50" i="7" s="1"/>
  <c r="E30" i="7"/>
  <c r="D30" i="7"/>
  <c r="E25" i="7"/>
  <c r="D25" i="7"/>
  <c r="E23" i="7"/>
  <c r="D23" i="7"/>
  <c r="E22" i="7"/>
  <c r="D22" i="7"/>
  <c r="C22" i="7"/>
  <c r="E21" i="7"/>
  <c r="D21" i="7"/>
  <c r="E19" i="7"/>
  <c r="D19" i="7"/>
  <c r="E17" i="7"/>
  <c r="D17" i="7"/>
  <c r="E16" i="7"/>
  <c r="D16" i="7"/>
  <c r="E15" i="7"/>
  <c r="D15" i="7"/>
  <c r="C15" i="7"/>
  <c r="E14" i="7"/>
  <c r="D14" i="7"/>
  <c r="C14" i="7"/>
  <c r="E13" i="7"/>
  <c r="D13" i="7"/>
  <c r="C13" i="7"/>
  <c r="E12" i="7"/>
  <c r="D12" i="7"/>
  <c r="C12" i="7"/>
  <c r="E11" i="7"/>
  <c r="D11" i="7"/>
  <c r="C11" i="7"/>
  <c r="E10" i="7"/>
  <c r="D10" i="7"/>
  <c r="C10" i="7"/>
  <c r="E9" i="7"/>
  <c r="D9" i="7"/>
  <c r="C9" i="7"/>
  <c r="E8" i="7"/>
  <c r="D8" i="7"/>
  <c r="C8" i="7"/>
  <c r="E7" i="7"/>
  <c r="D7" i="7"/>
  <c r="C7" i="7"/>
  <c r="B7" i="7"/>
  <c r="B8" i="7" s="1"/>
  <c r="B9" i="7" s="1"/>
  <c r="B10" i="7" s="1"/>
  <c r="B11" i="7" s="1"/>
  <c r="B12" i="7" s="1"/>
  <c r="B13" i="7" s="1"/>
  <c r="B14" i="7" s="1"/>
  <c r="B15" i="7" s="1"/>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E6" i="7"/>
  <c r="D6" i="7"/>
  <c r="L7" i="7" l="1"/>
  <c r="B59" i="7"/>
  <c r="C127" i="8"/>
  <c r="L26" i="7"/>
  <c r="L10" i="7"/>
  <c r="L21" i="7"/>
  <c r="L25" i="7"/>
  <c r="F15" i="7"/>
  <c r="F8" i="7"/>
  <c r="L9" i="7"/>
  <c r="F9" i="7"/>
  <c r="F21" i="7"/>
  <c r="L8" i="7"/>
  <c r="F14" i="7"/>
  <c r="L24" i="7"/>
  <c r="L35" i="7"/>
  <c r="L6" i="7"/>
  <c r="L11" i="7"/>
  <c r="L36" i="7"/>
  <c r="L12" i="7"/>
  <c r="L22" i="7"/>
  <c r="L37" i="7"/>
  <c r="L13" i="7"/>
  <c r="L20" i="7"/>
  <c r="L23" i="7"/>
  <c r="F7" i="7"/>
  <c r="F18" i="7"/>
  <c r="F57" i="7"/>
  <c r="L39" i="7"/>
  <c r="F13" i="7"/>
  <c r="F19" i="7"/>
  <c r="L31" i="7"/>
  <c r="F47" i="7"/>
  <c r="F58" i="7"/>
  <c r="F6" i="7"/>
  <c r="F56" i="7"/>
  <c r="F49" i="7"/>
  <c r="F10" i="7"/>
  <c r="F22" i="7"/>
  <c r="F50" i="7"/>
  <c r="F11" i="7"/>
  <c r="F17" i="7"/>
  <c r="L30" i="7"/>
  <c r="L38" i="7"/>
  <c r="F59" i="7"/>
  <c r="F48" i="7"/>
  <c r="F16" i="7"/>
  <c r="F23" i="7"/>
  <c r="F30" i="7"/>
  <c r="F12" i="7"/>
  <c r="F25" i="7"/>
  <c r="F46" i="7"/>
  <c r="D46" i="2" a="1"/>
  <c r="D46" i="2" s="1"/>
  <c r="C126" i="8" l="1"/>
  <c r="C125" i="8"/>
  <c r="R14" i="10" l="1"/>
  <c r="S14" i="10" l="1"/>
  <c r="V12" i="10" s="1"/>
  <c r="W12" i="10" s="1"/>
  <c r="T14" i="10" l="1"/>
  <c r="M12" i="10" s="1"/>
  <c r="Z12" i="10" s="1"/>
  <c r="AB3" i="10" l="1"/>
  <c r="Z3" i="10"/>
  <c r="AA3"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<sst xmlns="http://schemas.openxmlformats.org/spreadsheetml/2006/main" count="802" uniqueCount="350">
  <si>
    <t>Projekt</t>
  </si>
  <si>
    <t>Start</t>
  </si>
  <si>
    <t>Ende</t>
  </si>
  <si>
    <t>Budget</t>
  </si>
  <si>
    <t>Projektstatus</t>
  </si>
  <si>
    <t>Safety Status</t>
  </si>
  <si>
    <t>Projektklasse</t>
  </si>
  <si>
    <t>PO</t>
  </si>
  <si>
    <t>PM</t>
  </si>
  <si>
    <t>AM</t>
  </si>
  <si>
    <t>VM</t>
  </si>
  <si>
    <t>Geplant</t>
  </si>
  <si>
    <t>Rest</t>
  </si>
  <si>
    <t>Fortschritt</t>
  </si>
  <si>
    <t>Abweichung</t>
  </si>
  <si>
    <t>Stundenabruf</t>
  </si>
  <si>
    <t>Summe</t>
  </si>
  <si>
    <t>KW11</t>
  </si>
  <si>
    <t>Mehraufwände</t>
  </si>
  <si>
    <t>Bemerkung</t>
  </si>
  <si>
    <t>Bearbeiter</t>
  </si>
  <si>
    <t>Warnstufe Abweichung</t>
  </si>
  <si>
    <t>Phasen</t>
  </si>
  <si>
    <t>Review Level</t>
  </si>
  <si>
    <t>Erstellen</t>
  </si>
  <si>
    <t>MA1</t>
  </si>
  <si>
    <t>Implementieren</t>
  </si>
  <si>
    <t>MA2</t>
  </si>
  <si>
    <t>Anpassen</t>
  </si>
  <si>
    <t>MA3</t>
  </si>
  <si>
    <t>Reviewen</t>
  </si>
  <si>
    <t>Freigeben</t>
  </si>
  <si>
    <t>Fertig</t>
  </si>
  <si>
    <t>Findings fixed</t>
  </si>
  <si>
    <t>Fixes reviewed</t>
  </si>
  <si>
    <t>2. Findings fixed</t>
  </si>
  <si>
    <t>Clean</t>
  </si>
  <si>
    <t>Finished</t>
  </si>
  <si>
    <t>Zieldatum</t>
  </si>
  <si>
    <t>DoD</t>
  </si>
  <si>
    <t>on track</t>
  </si>
  <si>
    <t>geringe Abweichung</t>
  </si>
  <si>
    <t>Warnstufe</t>
  </si>
  <si>
    <t>Unterpositionen</t>
  </si>
  <si>
    <t>Projektnummer</t>
  </si>
  <si>
    <t>Dies ist die Vorlage für eine Position.
Eine Bearbeitung und Veränderung kann zu Fehler in VBA-Funktionen führen und sollte vermieden werden!</t>
  </si>
  <si>
    <t>KW12</t>
  </si>
  <si>
    <t>Hilfsspalte</t>
  </si>
  <si>
    <t>Gebucht</t>
  </si>
  <si>
    <t>KW</t>
  </si>
  <si>
    <t>Jahr</t>
  </si>
  <si>
    <t>Prognose</t>
  </si>
  <si>
    <t>Cockpit</t>
  </si>
  <si>
    <t>Adresse</t>
  </si>
  <si>
    <t>Zeile</t>
  </si>
  <si>
    <t>Spalte</t>
  </si>
  <si>
    <t>Prognose Enddatum</t>
  </si>
  <si>
    <t>Prog 10KW Enddatum</t>
  </si>
  <si>
    <t>Nummer</t>
  </si>
  <si>
    <t>AdrProjekt</t>
  </si>
  <si>
    <t>AdrPositionen</t>
  </si>
  <si>
    <t>AdrStundenabruf</t>
  </si>
  <si>
    <t>AdrBurndown</t>
  </si>
  <si>
    <t>AdrEintragBackl</t>
  </si>
  <si>
    <t>AdrPrognose</t>
  </si>
  <si>
    <t>AdrDiagramm</t>
  </si>
  <si>
    <t>Tabelle Positionen</t>
  </si>
  <si>
    <t>Time</t>
  </si>
  <si>
    <t>FTE</t>
  </si>
  <si>
    <t>FTE Soll</t>
  </si>
  <si>
    <t>FTE Ist</t>
  </si>
  <si>
    <t>Ist | Rest</t>
  </si>
  <si>
    <t>Budget Fortschritt</t>
  </si>
  <si>
    <t>Prognose (letzte 4 KW)</t>
  </si>
  <si>
    <t>Soll</t>
  </si>
  <si>
    <t>[ FTE ]</t>
  </si>
  <si>
    <t>Entwicklung Level</t>
  </si>
  <si>
    <t>Entw_Fertigstellungsgrad</t>
  </si>
  <si>
    <t>Rev_Fertigstellungsgrad</t>
  </si>
  <si>
    <t>Faktor Umrechnung Zeiteinheit</t>
  </si>
  <si>
    <t>Basisdaten in Stunden</t>
  </si>
  <si>
    <t>Basisdaten in Tagen</t>
  </si>
  <si>
    <t>Mitarbeiter im Projekt</t>
  </si>
  <si>
    <t>Versionsnummer</t>
  </si>
  <si>
    <t>Datei</t>
  </si>
  <si>
    <t>Standard</t>
  </si>
  <si>
    <t>Adressliste zum Setzen von Verweisen in VBA</t>
  </si>
  <si>
    <t>aktuelle Zeiteinheit</t>
  </si>
  <si>
    <t>Tage</t>
  </si>
  <si>
    <t>Entwicklung aktuell</t>
  </si>
  <si>
    <t>Entwicklung Rest</t>
  </si>
  <si>
    <r>
      <rPr>
        <sz val="11"/>
        <color rgb="FF004D86"/>
        <rFont val="Calibri"/>
        <family val="2"/>
      </rPr>
      <t>Δ</t>
    </r>
    <r>
      <rPr>
        <sz val="9.35"/>
        <color rgb="FF004D86"/>
        <rFont val="Aial"/>
      </rPr>
      <t xml:space="preserve"> </t>
    </r>
    <r>
      <rPr>
        <sz val="11"/>
        <color rgb="FF004D86"/>
        <rFont val="Aial"/>
      </rPr>
      <t>Entwicklung</t>
    </r>
    <r>
      <rPr>
        <sz val="11"/>
        <color rgb="FF004D86"/>
        <rFont val="Aial"/>
        <family val="2"/>
      </rPr>
      <t xml:space="preserve"> Rest</t>
    </r>
  </si>
  <si>
    <r>
      <rPr>
        <sz val="9.35"/>
        <color rgb="FF004D86"/>
        <rFont val="Calibri"/>
        <family val="2"/>
      </rPr>
      <t>Δ</t>
    </r>
    <r>
      <rPr>
        <sz val="11"/>
        <color rgb="FF004D86"/>
        <rFont val="Aial"/>
      </rPr>
      <t xml:space="preserve"> Entwicklung aktuell</t>
    </r>
  </si>
  <si>
    <t>Budget Rest</t>
  </si>
  <si>
    <t>Positionen</t>
  </si>
  <si>
    <t>Hilfstabellen für die Ermittlung der Daten für das Diagramm 'Budget Ampel' im Cockpit</t>
  </si>
  <si>
    <t>Hilfstabellen für die Ermittlung der Daten für das Diagramm 'Zeit Ampel' im Cockpit</t>
  </si>
  <si>
    <t>critical</t>
  </si>
  <si>
    <t>Work Products</t>
  </si>
  <si>
    <t>overdue</t>
  </si>
  <si>
    <t>Zeitampel</t>
  </si>
  <si>
    <t>Mitarbeiter</t>
  </si>
  <si>
    <t>WP1</t>
  </si>
  <si>
    <t>Backlog</t>
  </si>
  <si>
    <t>Mitarbeiter-Budget-Check</t>
  </si>
  <si>
    <t>Check</t>
  </si>
  <si>
    <t>Left Time</t>
  </si>
  <si>
    <t>Anzahl der Unterpositionen</t>
  </si>
  <si>
    <t>Budget Vertrag / h</t>
  </si>
  <si>
    <t>Unterposition 1. Art</t>
  </si>
  <si>
    <t>Unterposition 2. Art</t>
  </si>
  <si>
    <t>1.1</t>
  </si>
  <si>
    <t>1.1.1</t>
  </si>
  <si>
    <t>1.2</t>
  </si>
  <si>
    <t>Faktor Warnstufe Überbuchung</t>
  </si>
  <si>
    <t>Informationen zum PDCA Planner</t>
  </si>
  <si>
    <t>Jahresanzahl für Projektabruf</t>
  </si>
  <si>
    <t>Aktueller Modus (1-4)</t>
  </si>
  <si>
    <t>Adresslisten der einzelnen Positionen</t>
  </si>
  <si>
    <r>
      <t xml:space="preserve">Gesamter Zeitraum </t>
    </r>
    <r>
      <rPr>
        <sz val="11"/>
        <color rgb="FF004D86"/>
        <rFont val="Arial"/>
        <family val="2"/>
      </rPr>
      <t>(Soll | Ist)</t>
    </r>
  </si>
  <si>
    <t>FTE Aktuelle KW Soll</t>
  </si>
  <si>
    <r>
      <t xml:space="preserve">Ende </t>
    </r>
    <r>
      <rPr>
        <sz val="11"/>
        <color rgb="FF004D86"/>
        <rFont val="Arial"/>
        <family val="2"/>
      </rPr>
      <t>(letzte 4 KW)</t>
    </r>
  </si>
  <si>
    <r>
      <t xml:space="preserve">Aktuelle KW </t>
    </r>
    <r>
      <rPr>
        <sz val="11"/>
        <color rgb="FF004D86"/>
        <rFont val="Arial"/>
        <family val="2"/>
      </rPr>
      <t>(Soll)</t>
    </r>
    <r>
      <rPr>
        <b/>
        <sz val="11"/>
        <color rgb="FF004D86"/>
        <rFont val="Arial"/>
        <family val="2"/>
      </rPr>
      <t xml:space="preserve"> | Letzte 4 KW</t>
    </r>
    <r>
      <rPr>
        <sz val="11"/>
        <color rgb="FF004D86"/>
        <rFont val="Arial"/>
        <family val="2"/>
      </rPr>
      <t xml:space="preserve"> (Ist)</t>
    </r>
  </si>
  <si>
    <r>
      <t xml:space="preserve">ResPlanung </t>
    </r>
    <r>
      <rPr>
        <sz val="11"/>
        <color rgb="FF004D86"/>
        <rFont val="Arial"/>
        <family val="2"/>
      </rPr>
      <t>(aktuelle KW)</t>
    </r>
  </si>
  <si>
    <t>FTE ResPLanung</t>
  </si>
  <si>
    <t>Eingeplante Mitarbeiter</t>
  </si>
  <si>
    <t>FTE letzte 4KW</t>
  </si>
  <si>
    <t>Initial</t>
  </si>
  <si>
    <t>Datum des letzten Updates</t>
  </si>
  <si>
    <t>Einstellungen des Burndown-Diagramms</t>
  </si>
  <si>
    <t>Tab_TimeRangeBurndown</t>
  </si>
  <si>
    <t>Stunden</t>
  </si>
  <si>
    <t>Zeiteinheit auf Button</t>
  </si>
  <si>
    <t>Auswahl Burndown-Diagramm</t>
  </si>
  <si>
    <t>Entwicklung</t>
  </si>
  <si>
    <t>Forecast</t>
  </si>
  <si>
    <t>Entw.</t>
  </si>
  <si>
    <t>Type</t>
  </si>
  <si>
    <t>Typ des Work Package</t>
  </si>
  <si>
    <t>Basic</t>
  </si>
  <si>
    <t>Abweichung Planung/Conaktiv</t>
  </si>
  <si>
    <t>Startdatum</t>
  </si>
  <si>
    <t>A</t>
  </si>
  <si>
    <t>Ressourceneinsatz</t>
  </si>
  <si>
    <t>Fortschritt Entwicklung</t>
  </si>
  <si>
    <t>Summe MA</t>
  </si>
  <si>
    <t>Ressourceneinsatz erste KW</t>
  </si>
  <si>
    <t>Ressourceneinsatz letzte KW</t>
  </si>
  <si>
    <t>Einsatz FTE</t>
  </si>
  <si>
    <t>Ressourcenabruf_Urlaub</t>
  </si>
  <si>
    <t>Leistungspakete</t>
  </si>
  <si>
    <t>Aktuell</t>
  </si>
  <si>
    <t>LP 1</t>
  </si>
  <si>
    <t>?</t>
  </si>
  <si>
    <t>Δ</t>
  </si>
  <si>
    <t>Banner Nicht abrechenbare Stunden</t>
  </si>
  <si>
    <t>Entwicklung Fortschritt</t>
  </si>
  <si>
    <t>Entwicklung Ende</t>
  </si>
  <si>
    <t>Entwicklung Delta</t>
  </si>
  <si>
    <t>Entwicklung Mehraufwände</t>
  </si>
  <si>
    <t>Delta</t>
  </si>
  <si>
    <r>
      <t xml:space="preserve">ResPlanung MA </t>
    </r>
    <r>
      <rPr>
        <sz val="11"/>
        <color rgb="FF004D86"/>
        <rFont val="Arial"/>
        <family val="2"/>
      </rPr>
      <t>(aktuelle KW)</t>
    </r>
  </si>
  <si>
    <t>Faktor Warnstufe Unterbuchung</t>
  </si>
  <si>
    <t>Arbeitsergebnis</t>
  </si>
  <si>
    <t>Zeitplanung</t>
  </si>
  <si>
    <t>2023v1.1.5</t>
  </si>
  <si>
    <t>ETO.EEVACTUATOR.Entw.016</t>
  </si>
  <si>
    <t>Projektdatei</t>
  </si>
  <si>
    <t>Teilrechnung</t>
  </si>
  <si>
    <t>Ja, Norm ist zu erfüllen</t>
  </si>
  <si>
    <t>DV-Typ C</t>
  </si>
  <si>
    <t>RSC</t>
  </si>
  <si>
    <t>MSL</t>
  </si>
  <si>
    <t>JAU</t>
  </si>
  <si>
    <t>AKU</t>
  </si>
  <si>
    <t>ALM</t>
  </si>
  <si>
    <t>ANH</t>
  </si>
  <si>
    <t>BSC</t>
  </si>
  <si>
    <t>CBE</t>
  </si>
  <si>
    <t>CHK</t>
  </si>
  <si>
    <t>HW</t>
  </si>
  <si>
    <t>JBR</t>
  </si>
  <si>
    <t>LEW</t>
  </si>
  <si>
    <t>LL</t>
  </si>
  <si>
    <t>LU</t>
  </si>
  <si>
    <t>MDY</t>
  </si>
  <si>
    <t>MPL</t>
  </si>
  <si>
    <t>MSI</t>
  </si>
  <si>
    <t>PST</t>
  </si>
  <si>
    <t>SP</t>
  </si>
  <si>
    <t>SVS</t>
  </si>
  <si>
    <t>TBU</t>
  </si>
  <si>
    <t>KW22</t>
  </si>
  <si>
    <t>KW23</t>
  </si>
  <si>
    <t>KW24</t>
  </si>
  <si>
    <t>KW25</t>
  </si>
  <si>
    <t>KW26</t>
  </si>
  <si>
    <t>KW27</t>
  </si>
  <si>
    <t>KW28</t>
  </si>
  <si>
    <t>KW29</t>
  </si>
  <si>
    <t>KW30</t>
  </si>
  <si>
    <t>KW31</t>
  </si>
  <si>
    <t>KW32</t>
  </si>
  <si>
    <t>KW33</t>
  </si>
  <si>
    <t>KW34</t>
  </si>
  <si>
    <t>KW35</t>
  </si>
  <si>
    <t>KW36</t>
  </si>
  <si>
    <t>KW37</t>
  </si>
  <si>
    <t>KW38</t>
  </si>
  <si>
    <t>KW39</t>
  </si>
  <si>
    <t>KW40</t>
  </si>
  <si>
    <t>KW41</t>
  </si>
  <si>
    <t>KW42</t>
  </si>
  <si>
    <t>KW43</t>
  </si>
  <si>
    <t>KW44</t>
  </si>
  <si>
    <t>KW45</t>
  </si>
  <si>
    <t>KW46</t>
  </si>
  <si>
    <t>KW47</t>
  </si>
  <si>
    <t>KW48</t>
  </si>
  <si>
    <t>KW49</t>
  </si>
  <si>
    <t>KW50</t>
  </si>
  <si>
    <t>KW51</t>
  </si>
  <si>
    <t>KW52</t>
  </si>
  <si>
    <t>KW1</t>
  </si>
  <si>
    <t>KW2</t>
  </si>
  <si>
    <t>KW3</t>
  </si>
  <si>
    <t>KW4</t>
  </si>
  <si>
    <t>KW5</t>
  </si>
  <si>
    <t>KW6</t>
  </si>
  <si>
    <t>KW7</t>
  </si>
  <si>
    <t>KW8</t>
  </si>
  <si>
    <t>KW9</t>
  </si>
  <si>
    <t>KW10</t>
  </si>
  <si>
    <t>KW13</t>
  </si>
  <si>
    <t>KW14</t>
  </si>
  <si>
    <t>KW15</t>
  </si>
  <si>
    <t>KW16</t>
  </si>
  <si>
    <t>KW17</t>
  </si>
  <si>
    <t>KW18</t>
  </si>
  <si>
    <t>KW19</t>
  </si>
  <si>
    <t>KW20</t>
  </si>
  <si>
    <t>KW21</t>
  </si>
  <si>
    <t>Juni</t>
  </si>
  <si>
    <t>Juli</t>
  </si>
  <si>
    <t>August</t>
  </si>
  <si>
    <t>September</t>
  </si>
  <si>
    <t>Oktober</t>
  </si>
  <si>
    <t>November</t>
  </si>
  <si>
    <t>Dezember</t>
  </si>
  <si>
    <t>Januar</t>
  </si>
  <si>
    <t>Februar</t>
  </si>
  <si>
    <t>März</t>
  </si>
  <si>
    <t>April</t>
  </si>
  <si>
    <t>Mai</t>
  </si>
  <si>
    <t>Geplant | Aktuell</t>
  </si>
  <si>
    <t>Ende (letzte 4 KW)</t>
  </si>
  <si>
    <t>Änderungen</t>
  </si>
  <si>
    <t>Positionstracker</t>
  </si>
  <si>
    <t>1. Software Entwicklungssuppor</t>
  </si>
  <si>
    <t>Adr_1.SoftwareEntwicklungssuppor</t>
  </si>
  <si>
    <t>hat Unterpositionen?</t>
  </si>
  <si>
    <t>Startzeile</t>
  </si>
  <si>
    <t>Endzeile</t>
  </si>
  <si>
    <t>Software Entwicklungssuppor</t>
  </si>
  <si>
    <t>nein</t>
  </si>
  <si>
    <t>Software Features</t>
  </si>
  <si>
    <t>ja</t>
  </si>
  <si>
    <t>Ich bringe morgen einen Kuchen mit :)</t>
  </si>
  <si>
    <t>1.1.10</t>
  </si>
  <si>
    <t>Stall Detection</t>
  </si>
  <si>
    <t>1.1.11</t>
  </si>
  <si>
    <t>Travel Counter</t>
  </si>
  <si>
    <t>1.1.12</t>
  </si>
  <si>
    <t>Sleep Mode</t>
  </si>
  <si>
    <t>1.1.13</t>
  </si>
  <si>
    <t>Fail Safe</t>
  </si>
  <si>
    <t>1.1.14</t>
  </si>
  <si>
    <t>LIN Status Frames</t>
  </si>
  <si>
    <t>1.1.15</t>
  </si>
  <si>
    <t>LIN Frame Diagnostic</t>
  </si>
  <si>
    <t>1.1.16</t>
  </si>
  <si>
    <t>LIN Request Frames</t>
  </si>
  <si>
    <t>1.1.17</t>
  </si>
  <si>
    <t>EOL-Mode</t>
  </si>
  <si>
    <t>1.1.18</t>
  </si>
  <si>
    <t>Lock Level</t>
  </si>
  <si>
    <t>1.1.19</t>
  </si>
  <si>
    <t>Function ID</t>
  </si>
  <si>
    <t>1.1.2</t>
  </si>
  <si>
    <t>1-Point-Initialization</t>
  </si>
  <si>
    <t>1.1.20</t>
  </si>
  <si>
    <t>Label Frame</t>
  </si>
  <si>
    <t>1.1.21</t>
  </si>
  <si>
    <t>Parameter</t>
  </si>
  <si>
    <t>1.1.22</t>
  </si>
  <si>
    <t>OBD</t>
  </si>
  <si>
    <t>1.1.23</t>
  </si>
  <si>
    <t>Variant Coding</t>
  </si>
  <si>
    <t>Nicht buchbar!</t>
  </si>
  <si>
    <t>1.1.24</t>
  </si>
  <si>
    <t>Error Mode</t>
  </si>
  <si>
    <t>1.1.25</t>
  </si>
  <si>
    <t>Gear Stiffness Compensation</t>
  </si>
  <si>
    <t>1.1.26</t>
  </si>
  <si>
    <t>Watch Dog</t>
  </si>
  <si>
    <t>1.1.27</t>
  </si>
  <si>
    <t>State Machine</t>
  </si>
  <si>
    <t>1.1.3</t>
  </si>
  <si>
    <t>2-Point-Initialization</t>
  </si>
  <si>
    <t>1.1.4</t>
  </si>
  <si>
    <t>Backlash Compensation (Aktuator)</t>
  </si>
  <si>
    <t>1.1.5</t>
  </si>
  <si>
    <t>Backlash Compensation (Valve)</t>
  </si>
  <si>
    <t>1.1.6</t>
  </si>
  <si>
    <t>Calibration</t>
  </si>
  <si>
    <t>1.1.7</t>
  </si>
  <si>
    <t>Positioning</t>
  </si>
  <si>
    <t>1.1.8</t>
  </si>
  <si>
    <t>Valve Offset</t>
  </si>
  <si>
    <t>1.1.9</t>
  </si>
  <si>
    <t>Release of Blockage</t>
  </si>
  <si>
    <t>ETO Support</t>
  </si>
  <si>
    <t>1.2.1</t>
  </si>
  <si>
    <t>ASPICE Prozess L1</t>
  </si>
  <si>
    <t>1.2.2</t>
  </si>
  <si>
    <t>Orga + PM</t>
  </si>
  <si>
    <t>1.2.3</t>
  </si>
  <si>
    <t>SUP.9</t>
  </si>
  <si>
    <t>1.2.4</t>
  </si>
  <si>
    <t>SUP.10</t>
  </si>
  <si>
    <t>1.2.5</t>
  </si>
  <si>
    <t>SW Release + Test</t>
  </si>
  <si>
    <t>2. Support Systementwicklung (</t>
  </si>
  <si>
    <t>Adr_2.SupportSystementwicklung(</t>
  </si>
  <si>
    <t>Support Systementwicklung (</t>
  </si>
  <si>
    <t>3. Support Task Force (optiona</t>
  </si>
  <si>
    <t>Adr_3.SupportTaskForce(optiona</t>
  </si>
  <si>
    <t>Support Task Force (optiona</t>
  </si>
  <si>
    <t>3.1</t>
  </si>
  <si>
    <t>Task Force EU</t>
  </si>
  <si>
    <t>3.2</t>
  </si>
  <si>
    <t>Task Force China</t>
  </si>
  <si>
    <t>3.3</t>
  </si>
  <si>
    <t>Bad Homburg</t>
  </si>
  <si>
    <t>4. Geschätze Prozessaufwände f</t>
  </si>
  <si>
    <t>Adr_4.GeschätzeProzessaufwändef</t>
  </si>
  <si>
    <t>Geschätze Prozessaufwände f</t>
  </si>
  <si>
    <t>ID</t>
  </si>
  <si>
    <t>1.1.1.1</t>
  </si>
  <si>
    <t>Eier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</si>
</sst>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7" formatCode="#,##0.00\ &quot;€&quot;;\-#,##0.00\ &quot;€&quot;"/>
    <numFmt numFmtId="164" formatCode="0.0"/>
    <numFmt numFmtId="165" formatCode="0.0%"/>
    <numFmt numFmtId="166" formatCode="0.000"/>
    <numFmt numFmtId="167" formatCode="00000"/>
    <numFmt numFmtId="168" formatCode="dd/mm/"/>
    <numFmt numFmtId="169" formatCode="dd\.mm"/>
    <numFmt numFmtId="170" formatCode="0000"/>
    <numFmt numFmtId="171" formatCode="dd\.mm\.yyyy"/>
  </numFmts>
  <fonts count="54">
    <font>
      <sz val="11"/>
      <color theme="1"/>
      <name val="Calibri"/>
      <family val="2"/>
      <scheme val="minor"/>
    </font>
    <font>
      <sz val="11"/>
      <color theme="1"/>
      <name val="Calibri"/>
      <family val="2"/>
      <scheme val="minor"/>
    </font>
    <font>
      <b/>
      <sz val="11"/>
      <color rgb="FF004D86"/>
      <name val="Arial"/>
      <family val="2"/>
    </font>
    <font>
      <sz val="11"/>
      <color theme="1"/>
      <name val="Arial"/>
      <family val="2"/>
    </font>
    <font>
      <b/>
      <sz val="11"/>
      <color rgb="FF004D86"/>
      <name val="Aial"/>
    </font>
    <font>
      <sz val="11"/>
      <color theme="1"/>
      <name val="Aial"/>
    </font>
    <font>
      <sz val="11"/>
      <color rgb="FF004D86"/>
      <name val="Aial"/>
    </font>
    <font>
      <b/>
      <sz val="11"/>
      <color theme="1"/>
      <name val="Aial"/>
    </font>
    <font>
      <b/>
      <sz val="10"/>
      <color rgb="FF004D86"/>
      <name val="Arial"/>
      <family val="2"/>
    </font>
    <font>
      <b/>
      <sz val="10"/>
      <color theme="1"/>
      <name val="Arial"/>
      <family val="2"/>
    </font>
    <font>
      <sz val="10"/>
      <color theme="1"/>
      <name val="Arial"/>
      <family val="2"/>
    </font>
    <font>
      <b/>
      <i/>
      <sz val="10"/>
      <color rgb="FF004D86"/>
      <name val="Arial"/>
      <family val="2"/>
    </font>
    <font>
      <sz val="11"/>
      <name val="Calibri"/>
      <family val="2"/>
      <scheme val="minor"/>
    </font>
    <font>
      <b/>
      <sz val="12"/>
      <color theme="1"/>
      <name val="Calibri"/>
      <family val="2"/>
      <scheme val="minor"/>
    </font>
    <font>
      <sz val="11"/>
      <color rgb="FF004D86"/>
      <name val="Arial"/>
      <family val="2"/>
    </font>
    <font>
      <sz val="11"/>
      <name val="Arial"/>
      <family val="2"/>
    </font>
    <font>
      <sz val="9.35"/>
      <color rgb="FF004D86"/>
      <name val="Calibri"/>
      <family val="2"/>
    </font>
    <font>
      <sz val="11"/>
      <color rgb="FF004D86"/>
      <name val="Aial"/>
      <family val="2"/>
    </font>
    <font>
      <sz val="11"/>
      <color rgb="FF004D86"/>
      <name val="Calibri"/>
      <family val="2"/>
    </font>
    <font>
      <sz val="9.35"/>
      <color rgb="FF004D86"/>
      <name val="Aial"/>
    </font>
    <font>
      <b/>
      <sz val="11"/>
      <name val="Calibri"/>
      <family val="2"/>
      <scheme val="minor"/>
    </font>
    <font>
      <b/>
      <sz val="11"/>
      <color rgb="FF004D86"/>
      <name val="Calibri"/>
      <family val="2"/>
      <scheme val="minor"/>
    </font>
    <font>
      <sz val="11"/>
      <color rgb="FF004D86"/>
      <name val="Calibri"/>
      <family val="2"/>
      <scheme val="minor"/>
    </font>
    <font>
      <sz val="11"/>
      <color rgb="FF9C0006"/>
      <name val="Calibri"/>
      <family val="2"/>
      <scheme val="minor"/>
    </font>
    <font>
      <sz val="11"/>
      <color theme="0"/>
      <name val="Arial"/>
      <family val="2"/>
    </font>
    <font>
      <sz val="11"/>
      <color theme="0"/>
      <name val="Aial"/>
    </font>
    <font>
      <sz val="10"/>
      <color theme="0"/>
      <name val="Arial"/>
      <family val="2"/>
    </font>
    <font>
      <i/>
      <sz val="10"/>
      <color theme="1"/>
      <name val="Arial"/>
      <family val="2"/>
    </font>
    <font>
      <b/>
      <sz val="11"/>
      <color rgb="FF305496"/>
      <name val="Calibri"/>
      <family val="2"/>
      <scheme val="minor"/>
    </font>
    <font>
      <i/>
      <sz val="11"/>
      <color rgb="FF004D86"/>
      <name val="Arial"/>
      <family val="2"/>
    </font>
    <font>
      <sz val="11"/>
      <color theme="4"/>
      <name val="Aial"/>
    </font>
    <font>
      <sz val="11"/>
      <color rgb="FF305496"/>
      <name val="Calibri"/>
      <family val="2"/>
      <scheme val="minor"/>
    </font>
    <font>
      <sz val="10"/>
      <name val="Arial"/>
      <family val="2"/>
    </font>
    <font>
      <b/>
      <sz val="11"/>
      <color theme="0"/>
      <name val="Arial"/>
      <family val="2"/>
    </font>
    <font>
      <b/>
      <sz val="11"/>
      <color theme="0"/>
      <name val="Aial"/>
    </font>
    <font>
      <b/>
      <sz val="10"/>
      <color theme="0"/>
      <name val="Arial"/>
      <family val="2"/>
    </font>
    <font>
      <i/>
      <sz val="10"/>
      <color theme="0"/>
      <name val="Arial"/>
      <family val="2"/>
    </font>
    <font>
      <sz val="8"/>
      <name val="Calibri"/>
      <family val="2"/>
      <scheme val="minor"/>
    </font>
    <font>
      <b/>
      <sz val="10"/>
      <color rgb="FF000000"/>
      <name val="Arial"/>
      <family val="2"/>
    </font>
    <font>
      <b/>
      <sz val="11"/>
      <color rgb="FF000000"/>
      <name val="Arial"/>
      <family val="2"/>
    </font>
    <font>
      <sz val="11"/>
      <color rgb="FF000000"/>
      <name val="Arial"/>
      <family val="2"/>
    </font>
    <font>
      <sz val="11"/>
      <color rgb="FFFFFFFF"/>
      <name val="Aial"/>
    </font>
    <font>
      <sz val="11"/>
      <color rgb="FFFFFFFF"/>
      <name val="Arial"/>
      <family val="2"/>
    </font>
    <font>
      <b/>
      <i/>
      <sz val="10"/>
      <color theme="4" tint="-0.499984740745262"/>
      <name val="Arial"/>
      <family val="2"/>
    </font>
    <font>
      <i/>
      <sz val="11"/>
      <color theme="4" tint="-0.499984740745262"/>
      <name val="Arial"/>
      <family val="2"/>
    </font>
    <font>
      <sz val="10"/>
      <color theme="4" tint="-0.499984740745262"/>
      <name val="Arial"/>
      <family val="2"/>
    </font>
    <font>
      <b/>
      <sz val="10"/>
      <color theme="4" tint="-0.499984740745262"/>
      <name val="Arial"/>
      <family val="2"/>
    </font>
    <font>
      <b/>
      <sz val="11"/>
      <color theme="4" tint="-0.499984740745262"/>
      <name val="Arial"/>
      <family val="2"/>
    </font>
    <font>
      <sz val="11"/>
      <color theme="4" tint="-0.499984740745262"/>
      <name val="Arial"/>
      <family val="2"/>
    </font>
    <font>
      <sz val="10"/>
      <color rgb="FF004D86"/>
      <name val="Arial"/>
      <family val="2"/>
    </font>
    <font>
      <b/>
      <sz val="10"/>
      <name val="Aial"/>
    </font>
    <font>
      <b/>
      <sz val="10"/>
      <color rgb="FF000000"/>
      <name val="Aial"/>
    </font>
    <font>
      <sz val="10"/>
      <color rgb="FF000000"/>
      <name val="Aial"/>
    </font>
    <font>
      <b/>
      <sz val="11"/>
      <color rgb="FFFFFFFF"/>
      <name val="Arial"/>
      <family val="2"/>
    </font>
  </fonts>
  <fills count="19">
    <fill>
      <patternFill patternType="none"/>
    </fill>
    <fill>
      <patternFill patternType="gray125"/>
    </fill>
    <fill>
      <patternFill patternType="solid">
        <fgColor rgb="FFECF4FA"/>
        <bgColor indexed="64"/>
      </patternFill>
    </fill>
    <fill>
      <patternFill patternType="solid">
        <fgColor theme="0"/>
        <bgColor indexed="64"/>
      </patternFill>
    </fill>
    <fill>
      <patternFill patternType="solid">
        <fgColor rgb="FFD7E6F4"/>
        <bgColor indexed="64"/>
      </patternFill>
    </fill>
    <fill>
      <patternFill patternType="solid">
        <fgColor rgb="FFFFCC99"/>
        <bgColor indexed="64"/>
      </patternFill>
    </fill>
    <fill>
      <patternFill patternType="solid">
        <fgColor rgb="FFBDD7EE"/>
        <bgColor indexed="64"/>
      </patternFill>
    </fill>
    <fill>
      <patternFill patternType="solid">
        <fgColor rgb="FFD9E1F2"/>
        <bgColor indexed="64"/>
      </patternFill>
    </fill>
    <fill>
      <patternFill patternType="solid">
        <fgColor rgb="FFB4C6E7"/>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7CE"/>
      </patternFill>
    </fill>
    <fill>
      <patternFill patternType="solid">
        <fgColor rgb="FF305496"/>
        <bgColor indexed="64"/>
      </patternFill>
    </fill>
    <fill>
      <patternFill patternType="solid">
        <fgColor theme="3" tint="0.79998168889431442"/>
        <bgColor indexed="64"/>
      </patternFill>
    </fill>
    <fill>
      <patternFill patternType="solid">
        <fgColor theme="4" tint="0.79998168889431442"/>
        <bgColor theme="4" tint="0.79998168889431442"/>
      </patternFill>
    </fill>
    <fill>
      <patternFill patternType="solid">
        <fgColor theme="0"/>
        <bgColor theme="4" tint="0.79998168889431442"/>
      </patternFill>
    </fill>
    <fill>
      <patternFill patternType="solid">
        <fgColor rgb="FFFFFFFF"/>
        <bgColor rgb="FF000000"/>
      </patternFill>
    </fill>
    <fill>
      <patternFill patternType="solid">
        <fgColor rgb="FFF2F2F2"/>
        <bgColor indexed="64"/>
      </patternFill>
    </fill>
    <fill>
      <patternFill patternType="solid">
        <fgColor rgb="FFFFFFFF"/>
        <bgColor indexed="64"/>
      </patternFill>
    </fill>
  </fills>
  <borders count="113">
    <border>
      <left/>
      <right/>
      <top/>
      <bottom/>
      <diagonal/>
    </border>
    <border>
      <left style="thin">
        <color rgb="FF0070C0"/>
      </left>
      <right/>
      <top style="thin">
        <color rgb="FF0070C0"/>
      </top>
      <bottom/>
      <diagonal/>
    </border>
    <border>
      <left style="thin">
        <color rgb="FF0070C0"/>
      </left>
      <right/>
      <top/>
      <bottom/>
      <diagonal/>
    </border>
    <border>
      <left style="thin">
        <color rgb="FF0070C0"/>
      </left>
      <right/>
      <top/>
      <bottom style="thin">
        <color rgb="FF0070C0"/>
      </bottom>
      <diagonal/>
    </border>
    <border>
      <left style="thin">
        <color rgb="FF0070C0"/>
      </left>
      <right style="thin">
        <color rgb="FF0070C0"/>
      </right>
      <top style="thin">
        <color rgb="FF0070C0"/>
      </top>
      <bottom style="thin">
        <color rgb="FF0070C0"/>
      </bottom>
      <diagonal/>
    </border>
    <border>
      <left/>
      <right style="thin">
        <color rgb="FF0070C0"/>
      </right>
      <top style="thin">
        <color rgb="FF0070C0"/>
      </top>
      <bottom/>
      <diagonal/>
    </border>
    <border>
      <left/>
      <right style="thin">
        <color rgb="FF0070C0"/>
      </right>
      <top/>
      <bottom/>
      <diagonal/>
    </border>
    <border>
      <left/>
      <right style="thin">
        <color rgb="FF0070C0"/>
      </right>
      <top/>
      <bottom style="thin">
        <color rgb="FF0070C0"/>
      </bottom>
      <diagonal/>
    </border>
    <border>
      <left/>
      <right/>
      <top style="thin">
        <color rgb="FF0070C0"/>
      </top>
      <bottom/>
      <diagonal/>
    </border>
    <border>
      <left/>
      <right/>
      <top/>
      <bottom style="thin">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70C0"/>
      </left>
      <right style="thin">
        <color rgb="FF0070C0"/>
      </right>
      <top style="thin">
        <color rgb="FF0070C0"/>
      </top>
      <bottom/>
      <diagonal/>
    </border>
    <border>
      <left style="thin">
        <color rgb="FF0070C0"/>
      </left>
      <right style="thin">
        <color rgb="FF0070C0"/>
      </right>
      <top/>
      <bottom style="thin">
        <color rgb="FF0070C0"/>
      </bottom>
      <diagonal/>
    </border>
    <border>
      <left style="thin">
        <color rgb="FF0070C0"/>
      </left>
      <right style="thin">
        <color rgb="FF0070C0"/>
      </right>
      <top/>
      <bottom/>
      <diagonal/>
    </border>
    <border>
      <left/>
      <right/>
      <top style="medium">
        <color rgb="FF0070C0"/>
      </top>
      <bottom/>
      <diagonal/>
    </border>
    <border>
      <left/>
      <right/>
      <top/>
      <bottom style="medium">
        <color rgb="FF0070C0"/>
      </bottom>
      <diagonal/>
    </border>
    <border>
      <left/>
      <right/>
      <top style="medium">
        <color rgb="FF0070C0"/>
      </top>
      <bottom style="thin">
        <color rgb="FF0070C0"/>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style="thin">
        <color theme="4"/>
      </bottom>
      <diagonal/>
    </border>
    <border>
      <left style="medium">
        <color rgb="FF0070C0"/>
      </left>
      <right style="thin">
        <color rgb="FF0070C0"/>
      </right>
      <top style="thin">
        <color rgb="FF0070C0"/>
      </top>
      <bottom style="medium">
        <color rgb="FF0070C0"/>
      </bottom>
      <diagonal/>
    </border>
    <border>
      <left style="thin">
        <color rgb="FF0070C0"/>
      </left>
      <right style="thin">
        <color rgb="FF0070C0"/>
      </right>
      <top style="thin">
        <color rgb="FF0070C0"/>
      </top>
      <bottom style="medium">
        <color rgb="FF0070C0"/>
      </bottom>
      <diagonal/>
    </border>
    <border>
      <left style="medium">
        <color rgb="FF0070C0"/>
      </left>
      <right style="thin">
        <color rgb="FF0070C0"/>
      </right>
      <top style="thin">
        <color rgb="FF0070C0"/>
      </top>
      <bottom style="thin">
        <color rgb="FF0070C0"/>
      </bottom>
      <diagonal/>
    </border>
    <border>
      <left style="thin">
        <color rgb="FF0070C0"/>
      </left>
      <right style="medium">
        <color rgb="FF0070C0"/>
      </right>
      <top style="thin">
        <color rgb="FF0070C0"/>
      </top>
      <bottom style="thin">
        <color rgb="FF0070C0"/>
      </bottom>
      <diagonal/>
    </border>
    <border>
      <left style="medium">
        <color rgb="FF0070C0"/>
      </left>
      <right/>
      <top/>
      <bottom/>
      <diagonal/>
    </border>
    <border>
      <left style="thin">
        <color rgb="FF0070C0"/>
      </left>
      <right style="medium">
        <color rgb="FF0070C0"/>
      </right>
      <top/>
      <bottom style="medium">
        <color rgb="FF0070C0"/>
      </bottom>
      <diagonal/>
    </border>
    <border>
      <left style="thin">
        <color rgb="FF0070C0"/>
      </left>
      <right/>
      <top style="thin">
        <color rgb="FF0070C0"/>
      </top>
      <bottom style="thin">
        <color theme="4"/>
      </bottom>
      <diagonal/>
    </border>
    <border>
      <left style="thin">
        <color rgb="FF0070C0"/>
      </left>
      <right style="thin">
        <color theme="4"/>
      </right>
      <top/>
      <bottom/>
      <diagonal/>
    </border>
    <border>
      <left style="thin">
        <color theme="4"/>
      </left>
      <right style="thin">
        <color rgb="FF0070C0"/>
      </right>
      <top/>
      <bottom/>
      <diagonal/>
    </border>
    <border>
      <left style="thin">
        <color rgb="FF0070C0"/>
      </left>
      <right style="thin">
        <color theme="4"/>
      </right>
      <top/>
      <bottom style="thin">
        <color rgb="FF0070C0"/>
      </bottom>
      <diagonal/>
    </border>
    <border>
      <left style="thin">
        <color theme="4"/>
      </left>
      <right style="thin">
        <color rgb="FF0070C0"/>
      </right>
      <top/>
      <bottom style="thin">
        <color rgb="FF0070C0"/>
      </bottom>
      <diagonal/>
    </border>
    <border>
      <left style="thin">
        <color rgb="FF0070C0"/>
      </left>
      <right/>
      <top style="thin">
        <color theme="4"/>
      </top>
      <bottom/>
      <diagonal/>
    </border>
    <border>
      <left style="thin">
        <color theme="4"/>
      </left>
      <right style="thin">
        <color rgb="FF0070C0"/>
      </right>
      <top style="thin">
        <color rgb="FF0070C0"/>
      </top>
      <bottom/>
      <diagonal/>
    </border>
    <border>
      <left style="medium">
        <color rgb="FF0070C0"/>
      </left>
      <right style="thin">
        <color rgb="FF0070C0"/>
      </right>
      <top/>
      <bottom/>
      <diagonal/>
    </border>
    <border>
      <left/>
      <right style="medium">
        <color rgb="FF305496"/>
      </right>
      <top/>
      <bottom style="medium">
        <color rgb="FF305496"/>
      </bottom>
      <diagonal/>
    </border>
    <border>
      <left/>
      <right/>
      <top/>
      <bottom style="medium">
        <color rgb="FF305496"/>
      </bottom>
      <diagonal/>
    </border>
    <border>
      <left style="medium">
        <color rgb="FF305496"/>
      </left>
      <right style="thin">
        <color rgb="FF0070C0"/>
      </right>
      <top style="medium">
        <color rgb="FF305496"/>
      </top>
      <bottom style="medium">
        <color rgb="FF305496"/>
      </bottom>
      <diagonal/>
    </border>
    <border>
      <left style="thin">
        <color rgb="FF0070C0"/>
      </left>
      <right style="thin">
        <color rgb="FF0070C0"/>
      </right>
      <top style="medium">
        <color rgb="FF305496"/>
      </top>
      <bottom style="medium">
        <color rgb="FF305496"/>
      </bottom>
      <diagonal/>
    </border>
    <border>
      <left style="thin">
        <color rgb="FF0070C0"/>
      </left>
      <right style="medium">
        <color rgb="FF305496"/>
      </right>
      <top style="medium">
        <color rgb="FF305496"/>
      </top>
      <bottom style="medium">
        <color rgb="FF305496"/>
      </bottom>
      <diagonal/>
    </border>
    <border>
      <left style="thin">
        <color rgb="FF305496"/>
      </left>
      <right style="thin">
        <color rgb="FF305496"/>
      </right>
      <top style="thin">
        <color rgb="FF305496"/>
      </top>
      <bottom style="medium">
        <color rgb="FF305496"/>
      </bottom>
      <diagonal/>
    </border>
    <border>
      <left style="medium">
        <color rgb="FF305496"/>
      </left>
      <right/>
      <top/>
      <bottom style="medium">
        <color rgb="FF305496"/>
      </bottom>
      <diagonal/>
    </border>
    <border>
      <left style="thin">
        <color rgb="FF305496"/>
      </left>
      <right style="thin">
        <color rgb="FF305496"/>
      </right>
      <top style="thin">
        <color rgb="FF305496"/>
      </top>
      <bottom style="thin">
        <color rgb="FF305496"/>
      </bottom>
      <diagonal/>
    </border>
    <border>
      <left style="thin">
        <color rgb="FF305496"/>
      </left>
      <right style="thin">
        <color rgb="FF305496"/>
      </right>
      <top style="thin">
        <color rgb="FF305496"/>
      </top>
      <bottom/>
      <diagonal/>
    </border>
    <border>
      <left style="thin">
        <color rgb="FF305496"/>
      </left>
      <right style="thin">
        <color rgb="FF305496"/>
      </right>
      <top/>
      <bottom/>
      <diagonal/>
    </border>
    <border>
      <left style="thin">
        <color rgb="FF305496"/>
      </left>
      <right style="thin">
        <color rgb="FF305496"/>
      </right>
      <top/>
      <bottom style="thin">
        <color rgb="FF305496"/>
      </bottom>
      <diagonal/>
    </border>
    <border>
      <left style="thin">
        <color rgb="FF305496"/>
      </left>
      <right style="thin">
        <color rgb="FF305496"/>
      </right>
      <top style="medium">
        <color rgb="FF305496"/>
      </top>
      <bottom/>
      <diagonal/>
    </border>
    <border>
      <left style="thin">
        <color rgb="FF305496"/>
      </left>
      <right style="thin">
        <color rgb="FF305496"/>
      </right>
      <top/>
      <bottom style="medium">
        <color rgb="FF305496"/>
      </bottom>
      <diagonal/>
    </border>
    <border>
      <left style="thin">
        <color rgb="FF305496"/>
      </left>
      <right style="thin">
        <color rgb="FF305496"/>
      </right>
      <top style="medium">
        <color rgb="FF305496"/>
      </top>
      <bottom style="thin">
        <color rgb="FF305496"/>
      </bottom>
      <diagonal/>
    </border>
    <border>
      <left style="medium">
        <color rgb="FF305496"/>
      </left>
      <right style="thin">
        <color rgb="FF305496"/>
      </right>
      <top style="medium">
        <color rgb="FF305496"/>
      </top>
      <bottom style="medium">
        <color rgb="FF305496"/>
      </bottom>
      <diagonal/>
    </border>
    <border>
      <left style="thin">
        <color rgb="FF305496"/>
      </left>
      <right style="thin">
        <color rgb="FF305496"/>
      </right>
      <top style="medium">
        <color rgb="FF305496"/>
      </top>
      <bottom style="medium">
        <color rgb="FF305496"/>
      </bottom>
      <diagonal/>
    </border>
    <border>
      <left style="thin">
        <color rgb="FF305496"/>
      </left>
      <right style="medium">
        <color rgb="FF305496"/>
      </right>
      <top style="medium">
        <color rgb="FF305496"/>
      </top>
      <bottom style="medium">
        <color rgb="FF305496"/>
      </bottom>
      <diagonal/>
    </border>
    <border>
      <left style="medium">
        <color rgb="FF305496"/>
      </left>
      <right style="medium">
        <color rgb="FF305496"/>
      </right>
      <top style="medium">
        <color rgb="FF305496"/>
      </top>
      <bottom style="thin">
        <color rgb="FF305496"/>
      </bottom>
      <diagonal/>
    </border>
    <border>
      <left style="thin">
        <color rgb="FF305496"/>
      </left>
      <right/>
      <top style="medium">
        <color rgb="FF305496"/>
      </top>
      <bottom style="thin">
        <color rgb="FF305496"/>
      </bottom>
      <diagonal/>
    </border>
    <border>
      <left/>
      <right style="thin">
        <color rgb="FF305496"/>
      </right>
      <top style="medium">
        <color rgb="FF305496"/>
      </top>
      <bottom style="thin">
        <color rgb="FF305496"/>
      </bottom>
      <diagonal/>
    </border>
    <border>
      <left/>
      <right/>
      <top style="medium">
        <color rgb="FF305496"/>
      </top>
      <bottom style="thin">
        <color rgb="FF305496"/>
      </bottom>
      <diagonal/>
    </border>
    <border>
      <left style="thin">
        <color rgb="FF305496"/>
      </left>
      <right/>
      <top style="thin">
        <color rgb="FF305496"/>
      </top>
      <bottom style="thin">
        <color rgb="FF305496"/>
      </bottom>
      <diagonal/>
    </border>
    <border>
      <left style="medium">
        <color rgb="FF305496"/>
      </left>
      <right style="medium">
        <color rgb="FF305496"/>
      </right>
      <top style="thin">
        <color rgb="FF305496"/>
      </top>
      <bottom style="thin">
        <color rgb="FF305496"/>
      </bottom>
      <diagonal/>
    </border>
    <border>
      <left/>
      <right/>
      <top style="thin">
        <color rgb="FF305496"/>
      </top>
      <bottom style="thin">
        <color rgb="FF305496"/>
      </bottom>
      <diagonal/>
    </border>
    <border>
      <left/>
      <right style="thin">
        <color rgb="FF305496"/>
      </right>
      <top style="thin">
        <color rgb="FF305496"/>
      </top>
      <bottom style="thin">
        <color rgb="FF305496"/>
      </bottom>
      <diagonal/>
    </border>
    <border>
      <left/>
      <right style="thin">
        <color rgb="FF305496"/>
      </right>
      <top/>
      <bottom/>
      <diagonal/>
    </border>
    <border>
      <left/>
      <right/>
      <top/>
      <bottom style="thin">
        <color rgb="FF305496"/>
      </bottom>
      <diagonal/>
    </border>
    <border>
      <left/>
      <right style="thin">
        <color rgb="FF004D86"/>
      </right>
      <top/>
      <bottom/>
      <diagonal/>
    </border>
    <border>
      <left/>
      <right/>
      <top style="thin">
        <color rgb="FF8497B0"/>
      </top>
      <bottom/>
      <diagonal/>
    </border>
    <border>
      <left/>
      <right style="thin">
        <color rgb="FF8497B0"/>
      </right>
      <top style="thin">
        <color rgb="FF8497B0"/>
      </top>
      <bottom/>
      <diagonal/>
    </border>
    <border>
      <left style="thin">
        <color rgb="FF8497B0"/>
      </left>
      <right style="thin">
        <color rgb="FF8497B0"/>
      </right>
      <top style="thin">
        <color rgb="FF8497B0"/>
      </top>
      <bottom/>
      <diagonal/>
    </border>
    <border>
      <left style="thin">
        <color rgb="FF8497B0"/>
      </left>
      <right style="thin">
        <color rgb="FF0070C0"/>
      </right>
      <top style="thin">
        <color rgb="FF8497B0"/>
      </top>
      <bottom/>
      <diagonal/>
    </border>
    <border>
      <left/>
      <right style="thin">
        <color rgb="FF8497B0"/>
      </right>
      <top style="thin">
        <color rgb="FF8497B0"/>
      </top>
      <bottom style="thin">
        <color rgb="FF8497B0"/>
      </bottom>
      <diagonal/>
    </border>
    <border>
      <left style="thin">
        <color rgb="FF8497B0"/>
      </left>
      <right style="thin">
        <color rgb="FF8497B0"/>
      </right>
      <top style="thin">
        <color rgb="FF8497B0"/>
      </top>
      <bottom style="thin">
        <color rgb="FF8497B0"/>
      </bottom>
      <diagonal/>
    </border>
    <border>
      <left style="thin">
        <color rgb="FF8497B0"/>
      </left>
      <right style="thin">
        <color rgb="FF0070C0"/>
      </right>
      <top style="thin">
        <color rgb="FF8497B0"/>
      </top>
      <bottom style="thin">
        <color rgb="FF8497B0"/>
      </bottom>
      <diagonal/>
    </border>
    <border>
      <left style="thin">
        <color rgb="FF305496"/>
      </left>
      <right/>
      <top/>
      <bottom/>
      <diagonal/>
    </border>
    <border>
      <left style="thin">
        <color rgb="FF305496"/>
      </left>
      <right/>
      <top/>
      <bottom style="medium">
        <color rgb="FF305496"/>
      </bottom>
      <diagonal/>
    </border>
    <border>
      <left style="medium">
        <color rgb="FF305496"/>
      </left>
      <right style="thin">
        <color rgb="FF305496"/>
      </right>
      <top/>
      <bottom style="medium">
        <color rgb="FF305496"/>
      </bottom>
      <diagonal/>
    </border>
    <border>
      <left style="thin">
        <color rgb="FF305496"/>
      </left>
      <right/>
      <top style="medium">
        <color rgb="FF305496"/>
      </top>
      <bottom style="medium">
        <color rgb="FF305496"/>
      </bottom>
      <diagonal/>
    </border>
    <border>
      <left/>
      <right style="thin">
        <color rgb="FF305496"/>
      </right>
      <top style="thin">
        <color rgb="FF305496"/>
      </top>
      <bottom style="medium">
        <color rgb="FF305496"/>
      </bottom>
      <diagonal/>
    </border>
    <border>
      <left/>
      <right/>
      <top style="thin">
        <color rgb="FF8497B0"/>
      </top>
      <bottom style="thin">
        <color rgb="FF8497B0"/>
      </bottom>
      <diagonal/>
    </border>
    <border>
      <left/>
      <right/>
      <top/>
      <bottom style="mediumDashed">
        <color rgb="FF4472C4"/>
      </bottom>
      <diagonal/>
    </border>
    <border>
      <left/>
      <right/>
      <top/>
      <bottom style="medium">
        <color rgb="FF4472C4"/>
      </bottom>
      <diagonal/>
    </border>
    <border>
      <left style="thin">
        <color rgb="FF8497B0"/>
      </left>
      <right/>
      <top style="thin">
        <color rgb="FF8497B0"/>
      </top>
      <bottom style="thin">
        <color rgb="FF8497B0"/>
      </bottom>
      <diagonal/>
    </border>
    <border>
      <left style="thin">
        <color rgb="FF8497B0"/>
      </left>
      <right/>
      <top style="thin">
        <color rgb="FF8497B0"/>
      </top>
      <bottom/>
      <diagonal/>
    </border>
    <border>
      <left/>
      <right/>
      <top style="mediumDashed">
        <color rgb="FF4472C4"/>
      </top>
      <bottom style="medium">
        <color rgb="FF4472C4"/>
      </bottom>
      <diagonal/>
    </border>
    <border>
      <left style="thin">
        <color rgb="FF8497B0"/>
      </left>
      <right style="thin">
        <color rgb="FF8497B0"/>
      </right>
      <top/>
      <bottom style="mediumDashed">
        <color rgb="FF4472C4"/>
      </bottom>
      <diagonal/>
    </border>
    <border>
      <left style="thin">
        <color rgb="FF8497B0"/>
      </left>
      <right style="thin">
        <color rgb="FF8497B0"/>
      </right>
      <top/>
      <bottom style="medium">
        <color rgb="FF4472C4"/>
      </bottom>
      <diagonal/>
    </border>
    <border>
      <left/>
      <right style="thin">
        <color rgb="FF8497B0"/>
      </right>
      <top/>
      <bottom style="mediumDashed">
        <color rgb="FF4472C4"/>
      </bottom>
      <diagonal/>
    </border>
    <border>
      <left/>
      <right style="thin">
        <color rgb="FF8497B0"/>
      </right>
      <top/>
      <bottom style="medium">
        <color rgb="FF4472C4"/>
      </bottom>
      <diagonal/>
    </border>
    <border>
      <left/>
      <right style="thin">
        <color rgb="FF8497B0"/>
      </right>
      <top/>
      <bottom/>
      <diagonal/>
    </border>
    <border>
      <left/>
      <right style="thin">
        <color rgb="FF8497B0"/>
      </right>
      <top style="mediumDashed">
        <color rgb="FF4472C4"/>
      </top>
      <bottom/>
      <diagonal/>
    </border>
    <border>
      <left style="thin">
        <color rgb="FF8497B0"/>
      </left>
      <right style="thin">
        <color rgb="FF8497B0"/>
      </right>
      <top style="mediumDashed">
        <color rgb="FF4472C4"/>
      </top>
      <bottom style="thin">
        <color rgb="FF8497B0"/>
      </bottom>
      <diagonal/>
    </border>
    <border>
      <left/>
      <right/>
      <top style="medium">
        <color rgb="FF4472C4"/>
      </top>
      <bottom/>
      <diagonal/>
    </border>
    <border>
      <left style="thin">
        <color rgb="FF8497B0"/>
      </left>
      <right style="thin">
        <color rgb="FF8497B0"/>
      </right>
      <top/>
      <bottom/>
      <diagonal/>
    </border>
    <border>
      <left style="thin">
        <color rgb="FF8497B0"/>
      </left>
      <right style="thin">
        <color rgb="FF8497B0"/>
      </right>
      <top style="medium">
        <color rgb="FF4472C4"/>
      </top>
      <bottom style="thin">
        <color rgb="FF8497B0"/>
      </bottom>
      <diagonal/>
    </border>
    <border>
      <left style="thin">
        <color rgb="FF8497B0"/>
      </left>
      <right/>
      <top/>
      <bottom style="mediumDashed">
        <color rgb="FF4472C4"/>
      </bottom>
      <diagonal/>
    </border>
    <border>
      <left style="thin">
        <color rgb="FF8497B0"/>
      </left>
      <right style="thin">
        <color rgb="FF8497B0"/>
      </right>
      <top style="mediumDashed">
        <color rgb="FF4472C4"/>
      </top>
      <bottom/>
      <diagonal/>
    </border>
    <border>
      <left style="thin">
        <color rgb="FF8497B0"/>
      </left>
      <right/>
      <top style="mediumDashed">
        <color rgb="FF4472C4"/>
      </top>
      <bottom style="thin">
        <color rgb="FF8497B0"/>
      </bottom>
      <diagonal/>
    </border>
    <border>
      <left style="thin">
        <color rgb="FF8497B0"/>
      </left>
      <right style="thin">
        <color rgb="FF8497B0"/>
      </right>
      <top style="medium">
        <color rgb="FF4472C4"/>
      </top>
      <bottom/>
      <diagonal/>
    </border>
    <border>
      <left style="thin">
        <color rgb="FF8497B0"/>
      </left>
      <right/>
      <top style="medium">
        <color rgb="FF4472C4"/>
      </top>
      <bottom style="thin">
        <color rgb="FF8497B0"/>
      </bottom>
      <diagonal/>
    </border>
    <border>
      <left style="thin">
        <color rgb="FF8497B0"/>
      </left>
      <right/>
      <top/>
      <bottom/>
      <diagonal/>
    </border>
    <border>
      <left style="thin">
        <color rgb="FF8497B0"/>
      </left>
      <right/>
      <top style="medium">
        <color rgb="FF4472C4"/>
      </top>
      <bottom/>
      <diagonal/>
    </border>
    <border>
      <left style="thin">
        <color rgb="FF8497B0"/>
      </left>
      <right/>
      <top style="mediumDashed">
        <color rgb="FF4472C4"/>
      </top>
      <bottom/>
      <diagonal/>
    </border>
    <border>
      <left style="thin">
        <color rgb="FF8497B0"/>
      </left>
      <right/>
      <top/>
      <bottom style="medium">
        <color rgb="FF4472C4"/>
      </bottom>
      <diagonal/>
    </border>
    <border>
      <left style="thin">
        <color rgb="FF8497B0"/>
      </left>
      <right/>
      <top style="mediumDashed">
        <color rgb="FF4472C4"/>
      </top>
      <bottom style="mediumDashed">
        <color rgb="FF4472C4"/>
      </bottom>
      <diagonal/>
    </border>
    <border>
      <left style="thin">
        <color rgb="FF8497B0"/>
      </left>
      <right/>
      <top style="medium">
        <color rgb="FF4472C4"/>
      </top>
      <bottom style="mediumDashed">
        <color rgb="FF4472C4"/>
      </bottom>
      <diagonal/>
    </border>
    <border>
      <left style="thin">
        <color rgb="FF8497B0"/>
      </left>
      <right style="thin">
        <color rgb="FF8497B0"/>
      </right>
      <top style="mediumDashed">
        <color rgb="FF4472C4"/>
      </top>
      <bottom style="medium">
        <color rgb="FF4472C4"/>
      </bottom>
      <diagonal/>
    </border>
    <border>
      <left/>
      <right style="thin">
        <color rgb="FF8497B0"/>
      </right>
      <top style="mediumDashed">
        <color rgb="FF4472C4"/>
      </top>
      <bottom style="mediumDashed">
        <color rgb="FF4472C4"/>
      </bottom>
      <diagonal/>
    </border>
  </borders>
  <cellStyleXfs count="3">
    <xf numFmtId="0" fontId="0" fillId="0" borderId="0"/>
    <xf numFmtId="9" fontId="1" fillId="0" borderId="0" applyFont="0" applyFill="0" applyBorder="0" applyAlignment="0" applyProtection="0"/>
    <xf numFmtId="0" fontId="23" fillId="11" borderId="0" applyNumberFormat="0" applyBorder="0" applyAlignment="0" applyProtection="0"/>
  </cellStyleXfs>
  <cellXfs count="503">
    <xf numFmtId="0" fontId="0" fillId="0" borderId="0" xfId="0"/>
    <xf numFmtId="0" fontId="3" fillId="3" borderId="0" xfId="0" applyFont="1" applyFill="1"/>
    <xf numFmtId="0" fontId="5" fillId="3" borderId="0" xfId="0" applyFont="1" applyFill="1"/>
    <xf numFmtId="0" fontId="5" fillId="3" borderId="2" xfId="0" applyFont="1" applyFill="1" applyBorder="1"/>
    <xf numFmtId="0" fontId="5" fillId="3" borderId="3" xfId="0" applyFont="1" applyFill="1" applyBorder="1"/>
    <xf numFmtId="0" fontId="5" fillId="3" borderId="9" xfId="0" applyFont="1" applyFill="1" applyBorder="1"/>
    <xf numFmtId="0" fontId="6" fillId="3" borderId="2" xfId="0" applyFont="1" applyFill="1" applyBorder="1"/>
    <xf numFmtId="0" fontId="5" fillId="3" borderId="6" xfId="0" applyFont="1" applyFill="1" applyBorder="1"/>
    <xf numFmtId="0" fontId="5" fillId="3" borderId="7" xfId="0" applyFont="1" applyFill="1" applyBorder="1"/>
    <xf numFmtId="0" fontId="8" fillId="3" borderId="4" xfId="0" applyFont="1" applyFill="1" applyBorder="1" applyAlignment="1">
      <alignment horizontal="left"/>
    </xf>
    <xf numFmtId="0" fontId="8" fillId="3" borderId="4" xfId="0" applyFont="1" applyFill="1" applyBorder="1" applyAlignment="1">
      <alignment horizontal="center"/>
    </xf>
    <xf numFmtId="0" fontId="10" fillId="3" borderId="0" xfId="0" applyFont="1" applyFill="1"/>
    <xf numFmtId="0" fontId="9" fillId="3" borderId="0" xfId="0" applyFont="1" applyFill="1" applyAlignment="1">
      <alignment vertical="center"/>
    </xf>
    <xf numFmtId="0" fontId="0" fillId="0" borderId="0" xfId="0" applyAlignment="1">
      <alignment horizontal="center"/>
    </xf>
    <xf numFmtId="0" fontId="12" fillId="0" borderId="8" xfId="0" applyFont="1" applyBorder="1" applyAlignment="1">
      <alignment horizontal="center"/>
    </xf>
    <xf numFmtId="0" fontId="12" fillId="0" borderId="11" xfId="0" applyFont="1" applyBorder="1" applyAlignment="1">
      <alignment horizontal="center"/>
    </xf>
    <xf numFmtId="0" fontId="10" fillId="3" borderId="2" xfId="0" applyFont="1" applyFill="1" applyBorder="1" applyAlignment="1">
      <alignment horizontal="center"/>
    </xf>
    <xf numFmtId="0" fontId="10" fillId="3" borderId="0" xfId="0" applyFont="1" applyFill="1" applyAlignment="1">
      <alignment horizontal="center"/>
    </xf>
    <xf numFmtId="14" fontId="3" fillId="3" borderId="0" xfId="0" applyNumberFormat="1" applyFont="1" applyFill="1"/>
    <xf numFmtId="0" fontId="6" fillId="3" borderId="6" xfId="0" applyFont="1" applyFill="1" applyBorder="1" applyAlignment="1">
      <alignment horizontal="center"/>
    </xf>
    <xf numFmtId="0" fontId="6" fillId="3" borderId="0" xfId="0" applyFont="1" applyFill="1"/>
    <xf numFmtId="0" fontId="5" fillId="3" borderId="0" xfId="0" applyFont="1" applyFill="1" applyAlignment="1">
      <alignment horizontal="center"/>
    </xf>
    <xf numFmtId="0" fontId="10" fillId="3" borderId="0" xfId="0" applyFont="1" applyFill="1" applyAlignment="1">
      <alignment horizontal="center" vertical="top"/>
    </xf>
    <xf numFmtId="0" fontId="15" fillId="3" borderId="0" xfId="0" applyFont="1" applyFill="1"/>
    <xf numFmtId="14" fontId="5" fillId="3" borderId="0" xfId="0" applyNumberFormat="1" applyFont="1" applyFill="1"/>
    <xf numFmtId="14" fontId="5" fillId="3" borderId="6" xfId="0" applyNumberFormat="1" applyFont="1" applyFill="1" applyBorder="1" applyAlignment="1">
      <alignment horizontal="center"/>
    </xf>
    <xf numFmtId="14" fontId="5" fillId="3" borderId="7" xfId="0" applyNumberFormat="1" applyFont="1" applyFill="1" applyBorder="1" applyAlignment="1">
      <alignment horizontal="center"/>
    </xf>
    <xf numFmtId="0" fontId="6" fillId="3" borderId="3" xfId="0" applyFont="1" applyFill="1" applyBorder="1"/>
    <xf numFmtId="0" fontId="17" fillId="8" borderId="2" xfId="0" applyFont="1" applyFill="1" applyBorder="1"/>
    <xf numFmtId="0" fontId="0" fillId="0" borderId="0" xfId="0" applyAlignment="1">
      <alignment horizontal="left"/>
    </xf>
    <xf numFmtId="0" fontId="0" fillId="3" borderId="0" xfId="0" applyFill="1"/>
    <xf numFmtId="166" fontId="0" fillId="3" borderId="0" xfId="0" applyNumberFormat="1" applyFill="1"/>
    <xf numFmtId="9" fontId="0" fillId="0" borderId="0" xfId="0" applyNumberFormat="1" applyAlignment="1">
      <alignment horizontal="left"/>
    </xf>
    <xf numFmtId="9" fontId="0" fillId="0" borderId="0" xfId="1" applyFont="1" applyFill="1" applyAlignment="1">
      <alignment horizontal="left"/>
    </xf>
    <xf numFmtId="9" fontId="0" fillId="0" borderId="0" xfId="1" applyFont="1" applyFill="1" applyAlignment="1">
      <alignment horizontal="center"/>
    </xf>
    <xf numFmtId="167" fontId="22" fillId="3" borderId="6" xfId="0" applyNumberFormat="1" applyFont="1" applyFill="1" applyBorder="1" applyAlignment="1">
      <alignment horizontal="center"/>
    </xf>
    <xf numFmtId="0" fontId="22" fillId="3" borderId="7" xfId="0" applyFont="1" applyFill="1" applyBorder="1" applyAlignment="1">
      <alignment horizontal="center"/>
    </xf>
    <xf numFmtId="0" fontId="21" fillId="3" borderId="2" xfId="0" applyFont="1" applyFill="1" applyBorder="1"/>
    <xf numFmtId="0" fontId="21" fillId="3" borderId="3" xfId="0" applyFont="1" applyFill="1" applyBorder="1"/>
    <xf numFmtId="0" fontId="0" fillId="0" borderId="3" xfId="0" applyBorder="1" applyAlignment="1">
      <alignment horizontal="center"/>
    </xf>
    <xf numFmtId="0" fontId="0" fillId="3" borderId="24" xfId="0" applyFill="1" applyBorder="1"/>
    <xf numFmtId="0" fontId="21" fillId="7" borderId="1" xfId="0" applyFont="1" applyFill="1" applyBorder="1"/>
    <xf numFmtId="0" fontId="21" fillId="7" borderId="8" xfId="0" applyFont="1" applyFill="1" applyBorder="1"/>
    <xf numFmtId="0" fontId="21" fillId="7" borderId="5" xfId="0" applyFont="1" applyFill="1" applyBorder="1"/>
    <xf numFmtId="0" fontId="20" fillId="7" borderId="8" xfId="0" applyFont="1" applyFill="1" applyBorder="1"/>
    <xf numFmtId="0" fontId="21" fillId="9" borderId="0" xfId="0" applyFont="1" applyFill="1"/>
    <xf numFmtId="0" fontId="22" fillId="9" borderId="0" xfId="0" applyFont="1" applyFill="1"/>
    <xf numFmtId="0" fontId="22" fillId="9" borderId="2" xfId="0" applyFont="1" applyFill="1" applyBorder="1" applyAlignment="1">
      <alignment horizontal="center"/>
    </xf>
    <xf numFmtId="0" fontId="22" fillId="9" borderId="6" xfId="0" applyFont="1" applyFill="1" applyBorder="1" applyAlignment="1">
      <alignment horizontal="center"/>
    </xf>
    <xf numFmtId="0" fontId="22" fillId="9" borderId="0" xfId="0" applyFont="1" applyFill="1" applyAlignment="1">
      <alignment horizontal="left"/>
    </xf>
    <xf numFmtId="0" fontId="22" fillId="9" borderId="0" xfId="0" applyFont="1" applyFill="1" applyAlignment="1">
      <alignment horizontal="center"/>
    </xf>
    <xf numFmtId="0" fontId="0" fillId="0" borderId="9" xfId="0" applyBorder="1" applyAlignment="1">
      <alignment horizontal="center"/>
    </xf>
    <xf numFmtId="0" fontId="0" fillId="0" borderId="7" xfId="0" applyBorder="1" applyAlignment="1">
      <alignment horizontal="center"/>
    </xf>
    <xf numFmtId="0" fontId="2" fillId="10" borderId="1" xfId="0" applyFont="1" applyFill="1" applyBorder="1" applyAlignment="1">
      <alignment horizontal="left" indent="1"/>
    </xf>
    <xf numFmtId="0" fontId="2" fillId="10" borderId="2" xfId="0" applyFont="1" applyFill="1" applyBorder="1" applyAlignment="1">
      <alignment horizontal="left" indent="1"/>
    </xf>
    <xf numFmtId="0" fontId="23" fillId="3" borderId="0" xfId="2" applyFill="1"/>
    <xf numFmtId="0" fontId="2" fillId="3" borderId="0" xfId="0" applyFont="1" applyFill="1" applyAlignment="1">
      <alignment vertical="center" textRotation="45"/>
    </xf>
    <xf numFmtId="164" fontId="5" fillId="3" borderId="6" xfId="0" applyNumberFormat="1" applyFont="1" applyFill="1" applyBorder="1"/>
    <xf numFmtId="164" fontId="5" fillId="3" borderId="9" xfId="0" applyNumberFormat="1" applyFont="1" applyFill="1" applyBorder="1"/>
    <xf numFmtId="164" fontId="5" fillId="3" borderId="7" xfId="0" applyNumberFormat="1" applyFont="1" applyFill="1" applyBorder="1"/>
    <xf numFmtId="0" fontId="10" fillId="12" borderId="6" xfId="0" applyFont="1" applyFill="1" applyBorder="1"/>
    <xf numFmtId="164" fontId="10" fillId="3" borderId="4" xfId="0" applyNumberFormat="1" applyFont="1" applyFill="1" applyBorder="1" applyAlignment="1">
      <alignment horizontal="center" vertical="center"/>
    </xf>
    <xf numFmtId="165" fontId="10" fillId="3" borderId="4" xfId="0" applyNumberFormat="1" applyFont="1" applyFill="1" applyBorder="1" applyAlignment="1">
      <alignment horizontal="center" vertical="center"/>
    </xf>
    <xf numFmtId="0" fontId="0" fillId="0" borderId="4" xfId="0" applyBorder="1"/>
    <xf numFmtId="0" fontId="0" fillId="0" borderId="4" xfId="0" applyBorder="1" applyAlignment="1">
      <alignment horizontal="center"/>
    </xf>
    <xf numFmtId="0" fontId="22" fillId="9" borderId="9" xfId="0" applyFont="1" applyFill="1" applyBorder="1" applyAlignment="1">
      <alignment horizontal="center"/>
    </xf>
    <xf numFmtId="164" fontId="10" fillId="3" borderId="0" xfId="0" applyNumberFormat="1" applyFont="1" applyFill="1" applyAlignment="1">
      <alignment horizontal="center"/>
    </xf>
    <xf numFmtId="0" fontId="21" fillId="8" borderId="7" xfId="0" applyFont="1" applyFill="1" applyBorder="1" applyAlignment="1">
      <alignment horizontal="center"/>
    </xf>
    <xf numFmtId="0" fontId="0" fillId="0" borderId="12" xfId="0" applyBorder="1" applyAlignment="1">
      <alignment horizontal="center"/>
    </xf>
    <xf numFmtId="0" fontId="0" fillId="0" borderId="5" xfId="0" applyBorder="1" applyAlignment="1">
      <alignment horizontal="center"/>
    </xf>
    <xf numFmtId="9" fontId="10" fillId="3" borderId="0" xfId="1" applyFont="1" applyFill="1"/>
    <xf numFmtId="164" fontId="10" fillId="3" borderId="0" xfId="0" applyNumberFormat="1" applyFont="1" applyFill="1"/>
    <xf numFmtId="0" fontId="22" fillId="0" borderId="10" xfId="0" applyFont="1" applyBorder="1"/>
    <xf numFmtId="0" fontId="22" fillId="0" borderId="11" xfId="0" applyFont="1" applyBorder="1"/>
    <xf numFmtId="0" fontId="0" fillId="0" borderId="2" xfId="0" applyBorder="1"/>
    <xf numFmtId="0" fontId="0" fillId="0" borderId="3" xfId="0" applyBorder="1"/>
    <xf numFmtId="0" fontId="0" fillId="0" borderId="9" xfId="0" applyBorder="1"/>
    <xf numFmtId="0" fontId="0" fillId="4" borderId="10" xfId="0" applyFill="1" applyBorder="1"/>
    <xf numFmtId="0" fontId="0" fillId="4" borderId="11" xfId="0" applyFill="1" applyBorder="1"/>
    <xf numFmtId="0" fontId="26" fillId="0" borderId="0" xfId="0" applyFont="1" applyAlignment="1">
      <alignment horizontal="center" vertical="center" textRotation="90"/>
    </xf>
    <xf numFmtId="0" fontId="10" fillId="0" borderId="0" xfId="0" applyFont="1"/>
    <xf numFmtId="0" fontId="0" fillId="4" borderId="11" xfId="0" applyFill="1" applyBorder="1" applyAlignment="1">
      <alignment horizontal="center"/>
    </xf>
    <xf numFmtId="0" fontId="0" fillId="4" borderId="12" xfId="0" applyFill="1" applyBorder="1" applyAlignment="1">
      <alignment horizontal="center"/>
    </xf>
    <xf numFmtId="0" fontId="0" fillId="0" borderId="6" xfId="0" applyBorder="1" applyAlignment="1">
      <alignment horizontal="center"/>
    </xf>
    <xf numFmtId="0" fontId="22" fillId="0" borderId="11" xfId="0" applyFont="1" applyBorder="1" applyAlignment="1">
      <alignment horizontal="center"/>
    </xf>
    <xf numFmtId="0" fontId="22" fillId="0" borderId="12" xfId="0" applyFont="1" applyBorder="1" applyAlignment="1">
      <alignment horizontal="center"/>
    </xf>
    <xf numFmtId="14" fontId="0" fillId="0" borderId="0" xfId="0" applyNumberFormat="1" applyAlignment="1">
      <alignment horizontal="center"/>
    </xf>
    <xf numFmtId="16" fontId="0" fillId="0" borderId="2" xfId="0" applyNumberFormat="1" applyBorder="1"/>
    <xf numFmtId="164" fontId="3" fillId="3" borderId="6" xfId="0" applyNumberFormat="1" applyFont="1" applyFill="1" applyBorder="1" applyAlignment="1">
      <alignment horizontal="center"/>
    </xf>
    <xf numFmtId="164" fontId="3" fillId="3" borderId="23" xfId="1" applyNumberFormat="1" applyFont="1" applyFill="1" applyBorder="1" applyAlignment="1" applyProtection="1">
      <alignment horizontal="center"/>
    </xf>
    <xf numFmtId="164" fontId="3" fillId="3" borderId="8" xfId="0" applyNumberFormat="1" applyFont="1" applyFill="1" applyBorder="1" applyAlignment="1">
      <alignment horizontal="center"/>
    </xf>
    <xf numFmtId="164" fontId="3" fillId="3" borderId="21" xfId="0" applyNumberFormat="1" applyFont="1" applyFill="1" applyBorder="1" applyAlignment="1">
      <alignment horizontal="center"/>
    </xf>
    <xf numFmtId="164" fontId="3" fillId="3" borderId="0" xfId="0" applyNumberFormat="1" applyFont="1" applyFill="1" applyAlignment="1">
      <alignment horizontal="center"/>
    </xf>
    <xf numFmtId="164" fontId="3" fillId="3" borderId="23" xfId="0" applyNumberFormat="1" applyFont="1" applyFill="1" applyBorder="1" applyAlignment="1">
      <alignment horizontal="center"/>
    </xf>
    <xf numFmtId="0" fontId="26" fillId="3" borderId="0" xfId="0" applyFont="1" applyFill="1" applyAlignment="1">
      <alignment horizontal="center" vertical="center" textRotation="90"/>
    </xf>
    <xf numFmtId="9" fontId="10" fillId="3" borderId="0" xfId="1" applyFont="1" applyFill="1" applyBorder="1"/>
    <xf numFmtId="164" fontId="8" fillId="3" borderId="0" xfId="0" applyNumberFormat="1" applyFont="1" applyFill="1" applyAlignment="1">
      <alignment horizontal="center" vertical="center"/>
    </xf>
    <xf numFmtId="0" fontId="9" fillId="3" borderId="0" xfId="0" applyFont="1" applyFill="1"/>
    <xf numFmtId="49" fontId="0" fillId="0" borderId="0" xfId="0" applyNumberFormat="1"/>
    <xf numFmtId="0" fontId="0" fillId="15" borderId="0" xfId="0" applyFill="1" applyAlignment="1">
      <alignment horizontal="center"/>
    </xf>
    <xf numFmtId="0" fontId="28" fillId="8" borderId="9" xfId="0" applyFont="1" applyFill="1" applyBorder="1" applyAlignment="1">
      <alignment horizontal="center"/>
    </xf>
    <xf numFmtId="0" fontId="0" fillId="14" borderId="8" xfId="0" applyFill="1" applyBorder="1" applyAlignment="1">
      <alignment horizontal="center"/>
    </xf>
    <xf numFmtId="9" fontId="0" fillId="0" borderId="0" xfId="1" applyFont="1" applyAlignment="1">
      <alignment horizontal="center"/>
    </xf>
    <xf numFmtId="0" fontId="0" fillId="3" borderId="26" xfId="0" applyFill="1" applyBorder="1"/>
    <xf numFmtId="0" fontId="0" fillId="0" borderId="0" xfId="1" applyNumberFormat="1" applyFont="1" applyFill="1" applyAlignment="1">
      <alignment horizontal="center"/>
    </xf>
    <xf numFmtId="0" fontId="0" fillId="3" borderId="0" xfId="0" applyFill="1" applyAlignment="1">
      <alignment horizontal="center"/>
    </xf>
    <xf numFmtId="0" fontId="14" fillId="3" borderId="0" xfId="0" applyFont="1" applyFill="1"/>
    <xf numFmtId="0" fontId="14" fillId="3" borderId="0" xfId="0" applyFont="1" applyFill="1" applyAlignment="1">
      <alignment horizontal="center"/>
    </xf>
    <xf numFmtId="0" fontId="2" fillId="3" borderId="0" xfId="0" applyFont="1" applyFill="1" applyAlignment="1">
      <alignment horizontal="left"/>
    </xf>
    <xf numFmtId="0" fontId="3" fillId="3" borderId="0" xfId="0" applyFont="1" applyFill="1" applyAlignment="1" applyProtection="1">
      <alignment horizontal="center"/>
      <protection locked="0"/>
    </xf>
    <xf numFmtId="0" fontId="31" fillId="9" borderId="0" xfId="0" applyFont="1" applyFill="1"/>
    <xf numFmtId="14" fontId="32" fillId="0" borderId="0" xfId="0" applyNumberFormat="1" applyFont="1" applyAlignment="1">
      <alignment horizontal="center"/>
    </xf>
    <xf numFmtId="0" fontId="34" fillId="12" borderId="10" xfId="0" applyFont="1" applyFill="1" applyBorder="1" applyAlignment="1">
      <alignment horizontal="left"/>
    </xf>
    <xf numFmtId="0" fontId="34" fillId="12" borderId="11" xfId="0" applyFont="1" applyFill="1" applyBorder="1" applyAlignment="1">
      <alignment horizontal="left" indent="1"/>
    </xf>
    <xf numFmtId="14" fontId="34" fillId="3" borderId="0" xfId="0" applyNumberFormat="1" applyFont="1" applyFill="1"/>
    <xf numFmtId="0" fontId="34" fillId="3" borderId="0" xfId="0" applyFont="1" applyFill="1"/>
    <xf numFmtId="0" fontId="33" fillId="12" borderId="8" xfId="0" applyFont="1" applyFill="1" applyBorder="1" applyAlignment="1">
      <alignment horizontal="center" vertical="center"/>
    </xf>
    <xf numFmtId="0" fontId="8" fillId="3" borderId="10" xfId="0" applyFont="1" applyFill="1" applyBorder="1"/>
    <xf numFmtId="0" fontId="8" fillId="3" borderId="11" xfId="0" applyFont="1" applyFill="1" applyBorder="1"/>
    <xf numFmtId="0" fontId="8" fillId="3" borderId="12" xfId="0" applyFont="1" applyFill="1" applyBorder="1"/>
    <xf numFmtId="165" fontId="10" fillId="3" borderId="0" xfId="0" applyNumberFormat="1" applyFont="1" applyFill="1" applyAlignment="1">
      <alignment horizontal="center" vertical="center"/>
    </xf>
    <xf numFmtId="14" fontId="9" fillId="3" borderId="0" xfId="0" applyNumberFormat="1" applyFont="1" applyFill="1" applyAlignment="1">
      <alignment horizontal="center" vertical="center"/>
    </xf>
    <xf numFmtId="0" fontId="10" fillId="3" borderId="0" xfId="0" applyFont="1" applyFill="1" applyAlignment="1">
      <alignment horizontal="center" vertical="center"/>
    </xf>
    <xf numFmtId="0" fontId="29" fillId="3" borderId="0" xfId="0" applyFont="1" applyFill="1" applyAlignment="1">
      <alignment horizontal="center" vertical="center"/>
    </xf>
    <xf numFmtId="0" fontId="35" fillId="12" borderId="11" xfId="0" applyFont="1" applyFill="1" applyBorder="1" applyAlignment="1">
      <alignment horizontal="center" vertical="center"/>
    </xf>
    <xf numFmtId="164" fontId="10" fillId="3" borderId="0" xfId="0" applyNumberFormat="1" applyFont="1" applyFill="1" applyAlignment="1">
      <alignment horizontal="center" vertical="center"/>
    </xf>
    <xf numFmtId="0" fontId="26" fillId="12" borderId="8" xfId="0" applyFont="1" applyFill="1" applyBorder="1" applyAlignment="1">
      <alignment horizontal="center" vertical="center"/>
    </xf>
    <xf numFmtId="0" fontId="35" fillId="12" borderId="8" xfId="0" applyFont="1" applyFill="1" applyBorder="1" applyAlignment="1">
      <alignment horizontal="center" vertical="center"/>
    </xf>
    <xf numFmtId="0" fontId="9" fillId="3" borderId="30" xfId="0" applyFont="1" applyFill="1" applyBorder="1" applyAlignment="1">
      <alignment horizontal="center" vertical="center"/>
    </xf>
    <xf numFmtId="164" fontId="10" fillId="3" borderId="31" xfId="0" applyNumberFormat="1" applyFont="1" applyFill="1" applyBorder="1" applyAlignment="1">
      <alignment horizontal="center" vertical="center"/>
    </xf>
    <xf numFmtId="0" fontId="9" fillId="3" borderId="32" xfId="0" applyFont="1" applyFill="1" applyBorder="1" applyAlignment="1">
      <alignment horizontal="center" vertical="center"/>
    </xf>
    <xf numFmtId="0" fontId="9" fillId="3" borderId="34" xfId="0" applyFont="1" applyFill="1" applyBorder="1" applyAlignment="1">
      <alignment horizontal="center" vertical="center"/>
    </xf>
    <xf numFmtId="0" fontId="36" fillId="12" borderId="11" xfId="0" applyFont="1" applyFill="1" applyBorder="1" applyAlignment="1">
      <alignment horizontal="center" vertical="center"/>
    </xf>
    <xf numFmtId="0" fontId="3" fillId="3" borderId="37" xfId="0" applyFont="1" applyFill="1" applyBorder="1"/>
    <xf numFmtId="0" fontId="3" fillId="3" borderId="38" xfId="0" applyFont="1" applyFill="1" applyBorder="1"/>
    <xf numFmtId="0" fontId="3" fillId="3" borderId="39" xfId="0" applyFont="1" applyFill="1" applyBorder="1"/>
    <xf numFmtId="0" fontId="3" fillId="3" borderId="40" xfId="0" applyFont="1" applyFill="1" applyBorder="1"/>
    <xf numFmtId="0" fontId="2" fillId="3" borderId="41" xfId="0" applyFont="1" applyFill="1" applyBorder="1" applyAlignment="1">
      <alignment horizontal="center" vertical="center"/>
    </xf>
    <xf numFmtId="0" fontId="3" fillId="3" borderId="42" xfId="0" applyFont="1" applyFill="1" applyBorder="1"/>
    <xf numFmtId="0" fontId="3" fillId="3" borderId="21" xfId="0" applyFont="1" applyFill="1" applyBorder="1"/>
    <xf numFmtId="0" fontId="3" fillId="3" borderId="23" xfId="0" applyFont="1" applyFill="1" applyBorder="1"/>
    <xf numFmtId="0" fontId="3" fillId="3" borderId="22" xfId="0" applyFont="1" applyFill="1" applyBorder="1"/>
    <xf numFmtId="0" fontId="3" fillId="3" borderId="6" xfId="0" applyFont="1" applyFill="1" applyBorder="1" applyAlignment="1">
      <alignment horizontal="center" vertical="center"/>
    </xf>
    <xf numFmtId="0" fontId="22" fillId="7" borderId="0" xfId="0" applyFont="1" applyFill="1"/>
    <xf numFmtId="9" fontId="10" fillId="3" borderId="35" xfId="1" applyFont="1" applyFill="1" applyBorder="1" applyAlignment="1" applyProtection="1">
      <alignment horizontal="center" vertical="center"/>
    </xf>
    <xf numFmtId="0" fontId="0" fillId="3" borderId="0" xfId="0" applyFill="1" applyAlignment="1">
      <alignment horizontal="center" vertical="center"/>
    </xf>
    <xf numFmtId="14" fontId="10" fillId="3" borderId="0" xfId="0" applyNumberFormat="1" applyFont="1" applyFill="1" applyAlignment="1">
      <alignment horizontal="center"/>
    </xf>
    <xf numFmtId="0" fontId="26" fillId="3" borderId="0" xfId="0" applyFont="1" applyFill="1" applyAlignment="1">
      <alignment horizontal="left" vertical="center"/>
    </xf>
    <xf numFmtId="0" fontId="26" fillId="3" borderId="8" xfId="0" applyFont="1" applyFill="1" applyBorder="1" applyAlignment="1">
      <alignment horizontal="left" vertical="center"/>
    </xf>
    <xf numFmtId="0" fontId="26" fillId="3" borderId="43" xfId="0" applyFont="1" applyFill="1" applyBorder="1" applyAlignment="1">
      <alignment vertical="center"/>
    </xf>
    <xf numFmtId="0" fontId="26" fillId="12" borderId="11" xfId="0" applyFont="1" applyFill="1" applyBorder="1" applyAlignment="1">
      <alignment vertical="center"/>
    </xf>
    <xf numFmtId="164" fontId="32" fillId="3" borderId="4" xfId="0" applyNumberFormat="1" applyFont="1" applyFill="1" applyBorder="1" applyAlignment="1">
      <alignment horizontal="center" vertical="center"/>
    </xf>
    <xf numFmtId="9" fontId="32" fillId="3" borderId="33" xfId="1" applyFont="1" applyFill="1" applyBorder="1" applyAlignment="1" applyProtection="1">
      <alignment horizontal="center" vertical="center"/>
    </xf>
    <xf numFmtId="0" fontId="17" fillId="8" borderId="1" xfId="0" applyFont="1" applyFill="1" applyBorder="1"/>
    <xf numFmtId="0" fontId="6" fillId="8" borderId="8" xfId="0" applyFont="1" applyFill="1" applyBorder="1"/>
    <xf numFmtId="164" fontId="5" fillId="3" borderId="8" xfId="0" applyNumberFormat="1" applyFont="1" applyFill="1" applyBorder="1"/>
    <xf numFmtId="164" fontId="5" fillId="3" borderId="5" xfId="0" applyNumberFormat="1" applyFont="1" applyFill="1" applyBorder="1"/>
    <xf numFmtId="0" fontId="6" fillId="8" borderId="0" xfId="0" applyFont="1" applyFill="1"/>
    <xf numFmtId="164" fontId="5" fillId="3" borderId="0" xfId="0" applyNumberFormat="1" applyFont="1" applyFill="1"/>
    <xf numFmtId="0" fontId="5" fillId="3" borderId="8" xfId="0" applyFont="1" applyFill="1" applyBorder="1"/>
    <xf numFmtId="0" fontId="4" fillId="3" borderId="2" xfId="0" applyFont="1" applyFill="1" applyBorder="1" applyAlignment="1">
      <alignment horizontal="center"/>
    </xf>
    <xf numFmtId="0" fontId="6" fillId="3" borderId="0" xfId="0" applyFont="1" applyFill="1" applyAlignment="1">
      <alignment horizontal="center"/>
    </xf>
    <xf numFmtId="164" fontId="30" fillId="3" borderId="0" xfId="0" applyNumberFormat="1" applyFont="1" applyFill="1"/>
    <xf numFmtId="0" fontId="25" fillId="3" borderId="0" xfId="0" applyFont="1" applyFill="1"/>
    <xf numFmtId="168" fontId="25" fillId="3" borderId="0" xfId="0" applyNumberFormat="1" applyFont="1" applyFill="1"/>
    <xf numFmtId="164" fontId="38" fillId="3" borderId="4" xfId="0" applyNumberFormat="1" applyFont="1" applyFill="1" applyBorder="1" applyAlignment="1">
      <alignment horizontal="center"/>
    </xf>
    <xf numFmtId="0" fontId="5" fillId="3" borderId="6" xfId="0" applyFont="1" applyFill="1" applyBorder="1" applyAlignment="1">
      <alignment horizontal="center"/>
    </xf>
    <xf numFmtId="0" fontId="4" fillId="3" borderId="3" xfId="0" applyFont="1" applyFill="1" applyBorder="1" applyAlignment="1">
      <alignment horizontal="center"/>
    </xf>
    <xf numFmtId="0" fontId="5" fillId="3" borderId="9" xfId="0" applyFont="1" applyFill="1" applyBorder="1" applyAlignment="1">
      <alignment horizontal="center"/>
    </xf>
    <xf numFmtId="0" fontId="5" fillId="3" borderId="7" xfId="0" applyFont="1" applyFill="1" applyBorder="1" applyAlignment="1">
      <alignment horizontal="center"/>
    </xf>
    <xf numFmtId="0" fontId="25" fillId="12" borderId="5" xfId="0" applyFont="1" applyFill="1" applyBorder="1" applyAlignment="1">
      <alignment horizontal="center"/>
    </xf>
    <xf numFmtId="0" fontId="21" fillId="0" borderId="0" xfId="0" applyFont="1"/>
    <xf numFmtId="0" fontId="21" fillId="3" borderId="0" xfId="0" applyFont="1" applyFill="1"/>
    <xf numFmtId="0" fontId="7" fillId="3" borderId="2" xfId="0" applyFont="1" applyFill="1" applyBorder="1" applyAlignment="1">
      <alignment horizontal="center"/>
    </xf>
    <xf numFmtId="0" fontId="2" fillId="4" borderId="10" xfId="0" applyFont="1" applyFill="1" applyBorder="1" applyAlignment="1">
      <alignment horizontal="center"/>
    </xf>
    <xf numFmtId="0" fontId="35" fillId="12" borderId="10" xfId="0" applyFont="1" applyFill="1" applyBorder="1" applyAlignment="1">
      <alignment horizontal="left" vertical="center"/>
    </xf>
    <xf numFmtId="0" fontId="35" fillId="12" borderId="11" xfId="0" applyFont="1" applyFill="1" applyBorder="1" applyAlignment="1">
      <alignment horizontal="left" vertical="center"/>
    </xf>
    <xf numFmtId="14" fontId="35" fillId="12" borderId="11" xfId="0" applyNumberFormat="1" applyFont="1" applyFill="1" applyBorder="1" applyAlignment="1">
      <alignment horizontal="center" vertical="center"/>
    </xf>
    <xf numFmtId="9" fontId="11" fillId="12" borderId="11" xfId="1" applyFont="1" applyFill="1" applyBorder="1" applyAlignment="1">
      <alignment horizontal="center" vertical="center"/>
    </xf>
    <xf numFmtId="0" fontId="2" fillId="10" borderId="8" xfId="0" applyFont="1" applyFill="1" applyBorder="1" applyAlignment="1">
      <alignment horizontal="left" indent="1"/>
    </xf>
    <xf numFmtId="0" fontId="2" fillId="10" borderId="0" xfId="0" applyFont="1" applyFill="1" applyAlignment="1">
      <alignment horizontal="left" indent="1"/>
    </xf>
    <xf numFmtId="0" fontId="39" fillId="16" borderId="9" xfId="0" applyFont="1" applyFill="1" applyBorder="1" applyAlignment="1">
      <alignment horizontal="left" vertical="center"/>
    </xf>
    <xf numFmtId="164" fontId="40" fillId="16" borderId="9" xfId="0" applyNumberFormat="1" applyFont="1" applyFill="1" applyBorder="1" applyAlignment="1">
      <alignment horizontal="center" vertical="center"/>
    </xf>
    <xf numFmtId="0" fontId="39" fillId="16" borderId="0" xfId="0" applyFont="1" applyFill="1" applyAlignment="1">
      <alignment horizontal="left" vertical="center"/>
    </xf>
    <xf numFmtId="164" fontId="40" fillId="16" borderId="0" xfId="0" applyNumberFormat="1" applyFont="1" applyFill="1" applyAlignment="1">
      <alignment horizontal="center" vertical="center"/>
    </xf>
    <xf numFmtId="0" fontId="3" fillId="4" borderId="8" xfId="0" applyFont="1" applyFill="1" applyBorder="1" applyAlignment="1">
      <alignment horizontal="center" vertical="center"/>
    </xf>
    <xf numFmtId="0" fontId="3" fillId="4" borderId="5" xfId="0" applyFont="1" applyFill="1" applyBorder="1" applyAlignment="1">
      <alignment horizontal="center" vertical="center"/>
    </xf>
    <xf numFmtId="0" fontId="3" fillId="3" borderId="2" xfId="0" applyFont="1" applyFill="1" applyBorder="1" applyAlignment="1">
      <alignment vertical="center"/>
    </xf>
    <xf numFmtId="0" fontId="3" fillId="3" borderId="0" xfId="0" applyFont="1" applyFill="1" applyAlignment="1">
      <alignment horizontal="center" vertical="center"/>
    </xf>
    <xf numFmtId="0" fontId="3" fillId="3" borderId="3" xfId="0" applyFont="1" applyFill="1" applyBorder="1" applyAlignment="1">
      <alignment vertical="center"/>
    </xf>
    <xf numFmtId="0" fontId="3" fillId="3" borderId="9" xfId="0" applyFont="1" applyFill="1" applyBorder="1" applyAlignment="1">
      <alignment horizontal="center" vertical="center"/>
    </xf>
    <xf numFmtId="0" fontId="3" fillId="3" borderId="7" xfId="0" applyFont="1" applyFill="1" applyBorder="1" applyAlignment="1">
      <alignment horizontal="center" vertical="center"/>
    </xf>
    <xf numFmtId="0" fontId="2" fillId="3" borderId="0" xfId="0" applyFont="1" applyFill="1"/>
    <xf numFmtId="0" fontId="2" fillId="4" borderId="4" xfId="0" applyFont="1" applyFill="1" applyBorder="1" applyAlignment="1">
      <alignment horizontal="center" vertical="center"/>
    </xf>
    <xf numFmtId="0" fontId="2" fillId="2" borderId="4" xfId="0" applyFont="1" applyFill="1" applyBorder="1" applyAlignment="1">
      <alignment horizontal="center" vertical="center" textRotation="90"/>
    </xf>
    <xf numFmtId="164" fontId="8" fillId="13" borderId="46" xfId="0" applyNumberFormat="1" applyFont="1" applyFill="1" applyBorder="1" applyAlignment="1">
      <alignment horizontal="left" vertical="center"/>
    </xf>
    <xf numFmtId="164" fontId="8" fillId="13" borderId="47" xfId="0" applyNumberFormat="1" applyFont="1" applyFill="1" applyBorder="1" applyAlignment="1">
      <alignment horizontal="center" vertical="center"/>
    </xf>
    <xf numFmtId="9" fontId="10" fillId="3" borderId="48" xfId="1" applyFont="1" applyFill="1" applyBorder="1" applyAlignment="1" applyProtection="1">
      <alignment horizontal="center" vertical="center"/>
    </xf>
    <xf numFmtId="0" fontId="10" fillId="3" borderId="50" xfId="0" applyFont="1" applyFill="1" applyBorder="1"/>
    <xf numFmtId="164" fontId="10" fillId="3" borderId="49" xfId="0" applyNumberFormat="1" applyFont="1" applyFill="1" applyBorder="1" applyAlignment="1">
      <alignment horizontal="center" vertical="center"/>
    </xf>
    <xf numFmtId="165" fontId="10" fillId="3" borderId="49" xfId="0" applyNumberFormat="1" applyFont="1" applyFill="1" applyBorder="1" applyAlignment="1">
      <alignment horizontal="center" vertical="center"/>
    </xf>
    <xf numFmtId="0" fontId="10" fillId="12" borderId="53" xfId="0" applyFont="1" applyFill="1" applyBorder="1"/>
    <xf numFmtId="0" fontId="10" fillId="12" borderId="54" xfId="0" applyFont="1" applyFill="1" applyBorder="1"/>
    <xf numFmtId="0" fontId="10" fillId="12" borderId="55" xfId="0" applyFont="1" applyFill="1" applyBorder="1"/>
    <xf numFmtId="0" fontId="10" fillId="12" borderId="56" xfId="0" applyFont="1" applyFill="1" applyBorder="1"/>
    <xf numFmtId="0" fontId="10" fillId="3" borderId="45" xfId="0" applyFont="1" applyFill="1" applyBorder="1"/>
    <xf numFmtId="9" fontId="10" fillId="3" borderId="60" xfId="1" applyFont="1" applyFill="1" applyBorder="1" applyAlignment="1" applyProtection="1">
      <alignment horizontal="center" vertical="center"/>
    </xf>
    <xf numFmtId="164" fontId="8" fillId="13" borderId="58" xfId="0" applyNumberFormat="1" applyFont="1" applyFill="1" applyBorder="1" applyAlignment="1">
      <alignment horizontal="left" vertical="center"/>
    </xf>
    <xf numFmtId="164" fontId="8" fillId="13" borderId="59" xfId="0" applyNumberFormat="1" applyFont="1" applyFill="1" applyBorder="1" applyAlignment="1">
      <alignment horizontal="center" vertical="center"/>
    </xf>
    <xf numFmtId="164" fontId="8" fillId="13" borderId="58" xfId="0" applyNumberFormat="1" applyFont="1" applyFill="1" applyBorder="1" applyAlignment="1">
      <alignment horizontal="center" vertical="center"/>
    </xf>
    <xf numFmtId="49" fontId="27" fillId="3" borderId="8" xfId="0" applyNumberFormat="1" applyFont="1" applyFill="1" applyBorder="1"/>
    <xf numFmtId="49" fontId="27" fillId="4" borderId="57" xfId="0" applyNumberFormat="1" applyFont="1" applyFill="1" applyBorder="1"/>
    <xf numFmtId="49" fontId="27" fillId="3" borderId="0" xfId="0" applyNumberFormat="1" applyFont="1" applyFill="1"/>
    <xf numFmtId="0" fontId="10" fillId="4" borderId="63" xfId="0" applyFont="1" applyFill="1" applyBorder="1" applyAlignment="1">
      <alignment horizontal="center" vertical="center"/>
    </xf>
    <xf numFmtId="164" fontId="10" fillId="3" borderId="53" xfId="0" applyNumberFormat="1" applyFont="1" applyFill="1" applyBorder="1" applyAlignment="1">
      <alignment horizontal="center"/>
    </xf>
    <xf numFmtId="0" fontId="10" fillId="4" borderId="68" xfId="0" applyFont="1" applyFill="1" applyBorder="1" applyAlignment="1">
      <alignment horizontal="center" vertical="center"/>
    </xf>
    <xf numFmtId="0" fontId="2" fillId="3" borderId="45" xfId="0" applyFont="1" applyFill="1" applyBorder="1"/>
    <xf numFmtId="0" fontId="10" fillId="4" borderId="51" xfId="0" applyFont="1" applyFill="1" applyBorder="1" applyAlignment="1">
      <alignment vertical="center"/>
    </xf>
    <xf numFmtId="0" fontId="10" fillId="4" borderId="51" xfId="0" applyFont="1" applyFill="1" applyBorder="1" applyAlignment="1">
      <alignment horizontal="center" vertical="center"/>
    </xf>
    <xf numFmtId="14" fontId="10" fillId="4" borderId="65" xfId="0" applyNumberFormat="1" applyFont="1" applyFill="1" applyBorder="1" applyAlignment="1">
      <alignment horizontal="center" vertical="center"/>
    </xf>
    <xf numFmtId="14" fontId="10" fillId="4" borderId="67" xfId="0" applyNumberFormat="1" applyFont="1" applyFill="1" applyBorder="1" applyAlignment="1">
      <alignment horizontal="center" vertical="center"/>
    </xf>
    <xf numFmtId="0" fontId="10" fillId="4" borderId="57" xfId="0" applyFont="1" applyFill="1" applyBorder="1" applyAlignment="1">
      <alignment vertical="center"/>
    </xf>
    <xf numFmtId="14" fontId="10" fillId="4" borderId="62" xfId="0" applyNumberFormat="1" applyFont="1" applyFill="1" applyBorder="1" applyAlignment="1">
      <alignment horizontal="center" vertical="center"/>
    </xf>
    <xf numFmtId="14" fontId="10" fillId="4" borderId="64" xfId="0" applyNumberFormat="1" applyFont="1" applyFill="1" applyBorder="1" applyAlignment="1">
      <alignment horizontal="center" vertical="center"/>
    </xf>
    <xf numFmtId="164" fontId="10" fillId="3" borderId="52" xfId="0" applyNumberFormat="1" applyFont="1" applyFill="1" applyBorder="1" applyAlignment="1">
      <alignment horizontal="center" vertical="center"/>
    </xf>
    <xf numFmtId="164" fontId="10" fillId="4" borderId="52" xfId="0" applyNumberFormat="1" applyFont="1" applyFill="1" applyBorder="1" applyAlignment="1">
      <alignment horizontal="center" vertical="center"/>
    </xf>
    <xf numFmtId="164" fontId="10" fillId="3" borderId="55" xfId="0" applyNumberFormat="1" applyFont="1" applyFill="1" applyBorder="1" applyAlignment="1">
      <alignment horizontal="center" vertical="center"/>
    </xf>
    <xf numFmtId="164" fontId="10" fillId="4" borderId="55" xfId="0" applyNumberFormat="1" applyFont="1" applyFill="1" applyBorder="1" applyAlignment="1">
      <alignment horizontal="center" vertical="center"/>
    </xf>
    <xf numFmtId="164" fontId="10" fillId="4" borderId="51" xfId="0" applyNumberFormat="1" applyFont="1" applyFill="1" applyBorder="1" applyAlignment="1">
      <alignment horizontal="center" vertical="center"/>
    </xf>
    <xf numFmtId="9" fontId="0" fillId="3" borderId="57" xfId="0" applyNumberFormat="1" applyFill="1" applyBorder="1" applyAlignment="1">
      <alignment horizontal="center" vertical="center"/>
    </xf>
    <xf numFmtId="9" fontId="0" fillId="3" borderId="51" xfId="0" applyNumberFormat="1" applyFill="1" applyBorder="1" applyAlignment="1">
      <alignment horizontal="center" vertical="center"/>
    </xf>
    <xf numFmtId="49" fontId="27" fillId="3" borderId="69" xfId="0" applyNumberFormat="1" applyFont="1" applyFill="1" applyBorder="1"/>
    <xf numFmtId="0" fontId="10" fillId="4" borderId="54" xfId="0" applyFont="1" applyFill="1" applyBorder="1" applyAlignment="1">
      <alignment horizontal="center" vertical="center"/>
    </xf>
    <xf numFmtId="0" fontId="10" fillId="3" borderId="70" xfId="0" applyFont="1" applyFill="1" applyBorder="1" applyAlignment="1">
      <alignment horizontal="center"/>
    </xf>
    <xf numFmtId="9" fontId="10" fillId="3" borderId="0" xfId="1" applyFont="1" applyFill="1" applyBorder="1" applyAlignment="1" applyProtection="1">
      <alignment horizontal="center" vertical="center"/>
    </xf>
    <xf numFmtId="164" fontId="8" fillId="3" borderId="0" xfId="0" applyNumberFormat="1" applyFont="1" applyFill="1" applyAlignment="1">
      <alignment horizontal="left" vertical="center"/>
    </xf>
    <xf numFmtId="0" fontId="8" fillId="3" borderId="0" xfId="0" applyFont="1" applyFill="1" applyAlignment="1">
      <alignment horizontal="center" vertical="center"/>
    </xf>
    <xf numFmtId="0" fontId="8" fillId="3" borderId="8" xfId="0" applyFont="1" applyFill="1" applyBorder="1" applyAlignment="1">
      <alignment horizontal="center" vertical="center"/>
    </xf>
    <xf numFmtId="9" fontId="3" fillId="3" borderId="0" xfId="1" applyFont="1" applyFill="1"/>
    <xf numFmtId="9" fontId="10" fillId="3" borderId="61" xfId="1" applyFont="1" applyFill="1" applyBorder="1" applyAlignment="1">
      <alignment horizontal="center" vertical="center"/>
    </xf>
    <xf numFmtId="9" fontId="10" fillId="3" borderId="66" xfId="1" applyFont="1" applyFill="1" applyBorder="1" applyAlignment="1">
      <alignment horizontal="center" vertical="center"/>
    </xf>
    <xf numFmtId="49" fontId="43" fillId="3" borderId="45" xfId="0" applyNumberFormat="1" applyFont="1" applyFill="1" applyBorder="1"/>
    <xf numFmtId="0" fontId="43" fillId="3" borderId="45" xfId="0" applyFont="1" applyFill="1" applyBorder="1"/>
    <xf numFmtId="0" fontId="44" fillId="3" borderId="45" xfId="0" applyFont="1" applyFill="1" applyBorder="1" applyAlignment="1">
      <alignment horizontal="center"/>
    </xf>
    <xf numFmtId="0" fontId="45" fillId="3" borderId="45" xfId="0" applyFont="1" applyFill="1" applyBorder="1" applyAlignment="1">
      <alignment horizontal="center"/>
    </xf>
    <xf numFmtId="14" fontId="46" fillId="3" borderId="45" xfId="0" applyNumberFormat="1" applyFont="1" applyFill="1" applyBorder="1" applyAlignment="1">
      <alignment horizontal="center"/>
    </xf>
    <xf numFmtId="9" fontId="46" fillId="3" borderId="45" xfId="1" applyFont="1" applyFill="1" applyBorder="1" applyAlignment="1">
      <alignment horizontal="center" vertical="center"/>
    </xf>
    <xf numFmtId="0" fontId="46" fillId="3" borderId="45" xfId="0" applyFont="1" applyFill="1" applyBorder="1" applyAlignment="1">
      <alignment horizontal="center" vertical="center"/>
    </xf>
    <xf numFmtId="0" fontId="45" fillId="3" borderId="45" xfId="0" applyFont="1" applyFill="1" applyBorder="1"/>
    <xf numFmtId="49" fontId="47" fillId="3" borderId="45" xfId="0" applyNumberFormat="1" applyFont="1" applyFill="1" applyBorder="1" applyAlignment="1">
      <alignment vertical="center"/>
    </xf>
    <xf numFmtId="0" fontId="47" fillId="3" borderId="45" xfId="0" applyFont="1" applyFill="1" applyBorder="1" applyAlignment="1">
      <alignment vertical="center"/>
    </xf>
    <xf numFmtId="0" fontId="48" fillId="3" borderId="45" xfId="0" applyFont="1" applyFill="1" applyBorder="1" applyAlignment="1">
      <alignment horizontal="center" vertical="center"/>
    </xf>
    <xf numFmtId="0" fontId="46" fillId="3" borderId="45" xfId="0" applyFont="1" applyFill="1" applyBorder="1" applyAlignment="1">
      <alignment horizontal="center"/>
    </xf>
    <xf numFmtId="0" fontId="48" fillId="3" borderId="45" xfId="0" applyFont="1" applyFill="1" applyBorder="1"/>
    <xf numFmtId="0" fontId="48" fillId="3" borderId="44" xfId="0" applyFont="1" applyFill="1" applyBorder="1"/>
    <xf numFmtId="0" fontId="4" fillId="3" borderId="2" xfId="0" applyFont="1" applyFill="1" applyBorder="1"/>
    <xf numFmtId="0" fontId="10" fillId="3" borderId="21" xfId="0" applyFont="1" applyFill="1" applyBorder="1"/>
    <xf numFmtId="0" fontId="9" fillId="3" borderId="22" xfId="0" applyFont="1" applyFill="1" applyBorder="1" applyAlignment="1">
      <alignment horizontal="center" vertical="center"/>
    </xf>
    <xf numFmtId="14" fontId="8" fillId="3" borderId="4" xfId="0" applyNumberFormat="1" applyFont="1" applyFill="1" applyBorder="1" applyAlignment="1">
      <alignment horizontal="center" vertical="center"/>
    </xf>
    <xf numFmtId="0" fontId="9" fillId="3" borderId="5" xfId="0" applyFont="1" applyFill="1" applyBorder="1" applyAlignment="1">
      <alignment horizontal="center" vertical="center"/>
    </xf>
    <xf numFmtId="0" fontId="49" fillId="3" borderId="0" xfId="0" applyFont="1" applyFill="1" applyAlignment="1">
      <alignment horizontal="center" vertical="center"/>
    </xf>
    <xf numFmtId="0" fontId="49" fillId="3" borderId="8" xfId="0" applyFont="1" applyFill="1" applyBorder="1" applyAlignment="1">
      <alignment horizontal="center" vertical="center"/>
    </xf>
    <xf numFmtId="0" fontId="46" fillId="4" borderId="61" xfId="0" applyFont="1" applyFill="1" applyBorder="1" applyAlignment="1">
      <alignment horizontal="center" vertical="center"/>
    </xf>
    <xf numFmtId="0" fontId="46" fillId="4" borderId="66" xfId="0" applyFont="1" applyFill="1" applyBorder="1" applyAlignment="1">
      <alignment horizontal="center" vertical="center"/>
    </xf>
    <xf numFmtId="0" fontId="3" fillId="12" borderId="71" xfId="0" applyFont="1" applyFill="1" applyBorder="1"/>
    <xf numFmtId="0" fontId="5" fillId="12" borderId="71" xfId="0" applyFont="1" applyFill="1" applyBorder="1"/>
    <xf numFmtId="0" fontId="26" fillId="12" borderId="71" xfId="0" applyFont="1" applyFill="1" applyBorder="1" applyAlignment="1">
      <alignment horizontal="center" vertical="center" textRotation="90"/>
    </xf>
    <xf numFmtId="0" fontId="10" fillId="12" borderId="71" xfId="0" applyFont="1" applyFill="1" applyBorder="1"/>
    <xf numFmtId="7" fontId="0" fillId="0" borderId="0" xfId="0" applyNumberFormat="1"/>
    <xf numFmtId="169" fontId="25" fillId="12" borderId="12" xfId="0" applyNumberFormat="1" applyFont="1" applyFill="1" applyBorder="1" applyAlignment="1">
      <alignment horizontal="center"/>
    </xf>
    <xf numFmtId="169" fontId="6" fillId="4" borderId="9" xfId="0" applyNumberFormat="1" applyFont="1" applyFill="1" applyBorder="1" applyAlignment="1">
      <alignment horizontal="center"/>
    </xf>
    <xf numFmtId="169" fontId="25" fillId="12" borderId="11" xfId="0" applyNumberFormat="1" applyFont="1" applyFill="1" applyBorder="1" applyAlignment="1">
      <alignment horizontal="center"/>
    </xf>
    <xf numFmtId="0" fontId="25" fillId="12" borderId="8" xfId="0" applyFont="1" applyFill="1" applyBorder="1" applyAlignment="1">
      <alignment horizontal="center"/>
    </xf>
    <xf numFmtId="170" fontId="25" fillId="12" borderId="11" xfId="0" applyNumberFormat="1" applyFont="1" applyFill="1" applyBorder="1" applyAlignment="1">
      <alignment horizontal="center"/>
    </xf>
    <xf numFmtId="0" fontId="4" fillId="3" borderId="2" xfId="0" applyFont="1" applyFill="1" applyBorder="1" applyAlignment="1">
      <alignment horizontal="left" indent="1"/>
    </xf>
    <xf numFmtId="164" fontId="5" fillId="3" borderId="6" xfId="0" applyNumberFormat="1" applyFont="1" applyFill="1" applyBorder="1" applyAlignment="1">
      <alignment horizontal="center"/>
    </xf>
    <xf numFmtId="0" fontId="6" fillId="17" borderId="6" xfId="0" applyFont="1" applyFill="1" applyBorder="1" applyAlignment="1">
      <alignment horizontal="center"/>
    </xf>
    <xf numFmtId="0" fontId="4" fillId="4" borderId="10" xfId="0" applyFont="1" applyFill="1" applyBorder="1" applyAlignment="1">
      <alignment horizontal="center"/>
    </xf>
    <xf numFmtId="0" fontId="6" fillId="4" borderId="11" xfId="0" applyFont="1" applyFill="1" applyBorder="1" applyAlignment="1">
      <alignment horizontal="center"/>
    </xf>
    <xf numFmtId="169" fontId="6" fillId="4" borderId="11" xfId="0" applyNumberFormat="1" applyFont="1" applyFill="1" applyBorder="1" applyAlignment="1">
      <alignment horizontal="center"/>
    </xf>
    <xf numFmtId="169" fontId="6" fillId="4" borderId="12" xfId="0" applyNumberFormat="1" applyFont="1" applyFill="1" applyBorder="1" applyAlignment="1">
      <alignment horizontal="center"/>
    </xf>
    <xf numFmtId="164" fontId="51" fillId="18" borderId="76" xfId="0" applyNumberFormat="1" applyFont="1" applyFill="1" applyBorder="1" applyAlignment="1">
      <alignment horizontal="center"/>
    </xf>
    <xf numFmtId="164" fontId="51" fillId="18" borderId="77" xfId="0" applyNumberFormat="1" applyFont="1" applyFill="1" applyBorder="1" applyAlignment="1">
      <alignment horizontal="center"/>
    </xf>
    <xf numFmtId="164" fontId="51" fillId="18" borderId="78" xfId="0" applyNumberFormat="1" applyFont="1" applyFill="1" applyBorder="1" applyAlignment="1">
      <alignment horizontal="center"/>
    </xf>
    <xf numFmtId="164" fontId="51" fillId="3" borderId="4" xfId="0" applyNumberFormat="1" applyFont="1" applyFill="1" applyBorder="1" applyAlignment="1">
      <alignment horizontal="center"/>
    </xf>
    <xf numFmtId="0" fontId="4" fillId="4" borderId="11" xfId="0" applyFont="1" applyFill="1" applyBorder="1" applyAlignment="1">
      <alignment horizontal="center"/>
    </xf>
    <xf numFmtId="164" fontId="50" fillId="18" borderId="4" xfId="0" applyNumberFormat="1" applyFont="1" applyFill="1" applyBorder="1" applyAlignment="1">
      <alignment horizontal="center"/>
    </xf>
    <xf numFmtId="164" fontId="52" fillId="18" borderId="76" xfId="0" applyNumberFormat="1" applyFont="1" applyFill="1" applyBorder="1" applyAlignment="1">
      <alignment horizontal="center"/>
    </xf>
    <xf numFmtId="164" fontId="52" fillId="18" borderId="77" xfId="0" applyNumberFormat="1" applyFont="1" applyFill="1" applyBorder="1" applyAlignment="1">
      <alignment horizontal="center"/>
    </xf>
    <xf numFmtId="164" fontId="52" fillId="18" borderId="78" xfId="0" applyNumberFormat="1" applyFont="1" applyFill="1" applyBorder="1" applyAlignment="1">
      <alignment horizontal="center"/>
    </xf>
    <xf numFmtId="0" fontId="4" fillId="4" borderId="4" xfId="0" applyFont="1" applyFill="1" applyBorder="1" applyAlignment="1">
      <alignment horizontal="center"/>
    </xf>
    <xf numFmtId="164" fontId="51" fillId="17" borderId="4" xfId="0" applyNumberFormat="1" applyFont="1" applyFill="1" applyBorder="1" applyAlignment="1">
      <alignment horizontal="center"/>
    </xf>
    <xf numFmtId="164" fontId="50" fillId="17" borderId="4" xfId="0" applyNumberFormat="1" applyFont="1" applyFill="1" applyBorder="1" applyAlignment="1">
      <alignment horizontal="center"/>
    </xf>
    <xf numFmtId="164" fontId="52" fillId="17" borderId="77" xfId="0" applyNumberFormat="1" applyFont="1" applyFill="1" applyBorder="1" applyAlignment="1">
      <alignment horizontal="center"/>
    </xf>
    <xf numFmtId="1" fontId="3" fillId="3" borderId="5" xfId="0" applyNumberFormat="1" applyFont="1" applyFill="1" applyBorder="1" applyAlignment="1">
      <alignment horizontal="center"/>
    </xf>
    <xf numFmtId="1" fontId="3" fillId="3" borderId="6" xfId="0" applyNumberFormat="1" applyFont="1" applyFill="1" applyBorder="1" applyAlignment="1">
      <alignment horizontal="center"/>
    </xf>
    <xf numFmtId="0" fontId="53" fillId="12" borderId="11" xfId="0" applyFont="1" applyFill="1" applyBorder="1" applyAlignment="1">
      <alignment horizontal="center" vertical="center"/>
    </xf>
    <xf numFmtId="0" fontId="13" fillId="3" borderId="0" xfId="0" applyFont="1" applyFill="1" applyAlignment="1">
      <alignment horizontal="center" vertical="center" wrapText="1"/>
    </xf>
    <xf numFmtId="49" fontId="27" fillId="4" borderId="51" xfId="0" applyNumberFormat="1" applyFont="1" applyFill="1" applyBorder="1"/>
    <xf numFmtId="164" fontId="10" fillId="3" borderId="51" xfId="0" applyNumberFormat="1" applyFont="1" applyFill="1" applyBorder="1" applyAlignment="1">
      <alignment horizontal="center"/>
    </xf>
    <xf numFmtId="0" fontId="2" fillId="4" borderId="8" xfId="0" applyFont="1" applyFill="1" applyBorder="1" applyAlignment="1">
      <alignment vertical="center"/>
    </xf>
    <xf numFmtId="0" fontId="2" fillId="4" borderId="8" xfId="0" applyFont="1" applyFill="1" applyBorder="1" applyAlignment="1">
      <alignment horizontal="center" vertical="center"/>
    </xf>
    <xf numFmtId="0" fontId="2" fillId="4" borderId="5" xfId="0" applyFont="1" applyFill="1" applyBorder="1" applyAlignment="1">
      <alignment horizontal="center" vertical="center"/>
    </xf>
    <xf numFmtId="0" fontId="40" fillId="18" borderId="0" xfId="0" applyFont="1" applyFill="1" applyAlignment="1">
      <alignment horizontal="center" vertical="center"/>
    </xf>
    <xf numFmtId="0" fontId="40" fillId="18" borderId="9" xfId="0" applyFont="1" applyFill="1" applyBorder="1" applyAlignment="1">
      <alignment horizontal="center" vertical="center"/>
    </xf>
    <xf numFmtId="0" fontId="40" fillId="18" borderId="7" xfId="0" applyFont="1" applyFill="1" applyBorder="1" applyAlignment="1">
      <alignment horizontal="center" vertical="center"/>
    </xf>
    <xf numFmtId="0" fontId="2" fillId="4" borderId="1" xfId="0" applyFont="1" applyFill="1" applyBorder="1" applyAlignment="1">
      <alignment horizontal="left" vertical="center" indent="2"/>
    </xf>
    <xf numFmtId="0" fontId="39" fillId="18" borderId="2" xfId="0" applyFont="1" applyFill="1" applyBorder="1" applyAlignment="1">
      <alignment horizontal="left" vertical="center" indent="1"/>
    </xf>
    <xf numFmtId="0" fontId="39" fillId="18" borderId="0" xfId="0" applyFont="1" applyFill="1" applyAlignment="1">
      <alignment vertical="center"/>
    </xf>
    <xf numFmtId="0" fontId="39" fillId="18" borderId="3" xfId="0" applyFont="1" applyFill="1" applyBorder="1" applyAlignment="1">
      <alignment horizontal="left" vertical="center" indent="1"/>
    </xf>
    <xf numFmtId="0" fontId="39" fillId="18" borderId="9" xfId="0" applyFont="1" applyFill="1" applyBorder="1" applyAlignment="1">
      <alignment vertical="center"/>
    </xf>
    <xf numFmtId="164" fontId="40" fillId="18" borderId="0" xfId="0" applyNumberFormat="1" applyFont="1" applyFill="1" applyAlignment="1">
      <alignment horizontal="center" vertical="center"/>
    </xf>
    <xf numFmtId="164" fontId="40" fillId="18" borderId="9" xfId="0" applyNumberFormat="1" applyFont="1" applyFill="1" applyBorder="1" applyAlignment="1">
      <alignment horizontal="center" vertical="center"/>
    </xf>
    <xf numFmtId="165" fontId="40" fillId="18" borderId="0" xfId="0" applyNumberFormat="1" applyFont="1" applyFill="1" applyAlignment="1">
      <alignment horizontal="center" vertical="center"/>
    </xf>
    <xf numFmtId="165" fontId="40" fillId="18" borderId="9" xfId="0" applyNumberFormat="1" applyFont="1" applyFill="1" applyBorder="1" applyAlignment="1">
      <alignment horizontal="center" vertical="center"/>
    </xf>
    <xf numFmtId="165" fontId="40" fillId="18" borderId="6" xfId="0" applyNumberFormat="1" applyFont="1" applyFill="1" applyBorder="1" applyAlignment="1">
      <alignment horizontal="center" vertical="center"/>
    </xf>
    <xf numFmtId="0" fontId="10" fillId="12" borderId="79" xfId="0" applyFont="1" applyFill="1" applyBorder="1"/>
    <xf numFmtId="49" fontId="43" fillId="3" borderId="80" xfId="0" applyNumberFormat="1" applyFont="1" applyFill="1" applyBorder="1"/>
    <xf numFmtId="0" fontId="10" fillId="3" borderId="81" xfId="0" applyFont="1" applyFill="1" applyBorder="1"/>
    <xf numFmtId="9" fontId="10" fillId="3" borderId="82" xfId="1" applyFont="1" applyFill="1" applyBorder="1" applyAlignment="1" applyProtection="1">
      <alignment horizontal="center" vertical="center"/>
    </xf>
    <xf numFmtId="164" fontId="10" fillId="3" borderId="83" xfId="0" applyNumberFormat="1" applyFont="1" applyFill="1" applyBorder="1" applyAlignment="1">
      <alignment horizontal="center" vertical="center"/>
    </xf>
    <xf numFmtId="0" fontId="12" fillId="0" borderId="9" xfId="0" applyFont="1" applyBorder="1" applyAlignment="1">
      <alignment horizontal="center"/>
    </xf>
    <xf numFmtId="0" fontId="0" fillId="14" borderId="0" xfId="0" applyFill="1" applyAlignment="1">
      <alignment horizontal="center"/>
    </xf>
    <xf numFmtId="0" fontId="21" fillId="8" borderId="22" xfId="0" applyFont="1" applyFill="1" applyBorder="1" applyAlignment="1">
      <alignment horizontal="center"/>
    </xf>
    <xf numFmtId="0" fontId="0" fillId="0" borderId="21" xfId="0" applyBorder="1" applyAlignment="1">
      <alignment horizontal="center"/>
    </xf>
    <xf numFmtId="164" fontId="2" fillId="4" borderId="8" xfId="0" applyNumberFormat="1" applyFont="1" applyFill="1" applyBorder="1" applyAlignment="1">
      <alignment horizontal="center" vertical="center"/>
    </xf>
    <xf numFmtId="165" fontId="2" fillId="4" borderId="8" xfId="0" applyNumberFormat="1" applyFont="1" applyFill="1" applyBorder="1" applyAlignment="1">
      <alignment horizontal="center" vertical="center"/>
    </xf>
    <xf numFmtId="0" fontId="0" fillId="0" borderId="21" xfId="0" applyBorder="1"/>
    <xf numFmtId="164" fontId="51" fillId="18" borderId="73" xfId="0" applyNumberFormat="1" applyFont="1" applyFill="1" applyBorder="1" applyAlignment="1">
      <alignment horizontal="center"/>
    </xf>
    <xf numFmtId="164" fontId="51" fillId="18" borderId="84" xfId="0" applyNumberFormat="1" applyFont="1" applyFill="1" applyBorder="1" applyAlignment="1">
      <alignment horizontal="center"/>
    </xf>
    <xf numFmtId="164" fontId="51" fillId="18" borderId="74" xfId="0" applyNumberFormat="1" applyFont="1" applyFill="1" applyBorder="1" applyAlignment="1">
      <alignment horizontal="center"/>
    </xf>
    <xf numFmtId="164" fontId="51" fillId="18" borderId="75" xfId="0" applyNumberFormat="1" applyFont="1" applyFill="1" applyBorder="1" applyAlignment="1">
      <alignment horizontal="center"/>
    </xf>
    <xf numFmtId="164" fontId="51" fillId="18" borderId="72" xfId="0" applyNumberFormat="1" applyFont="1" applyFill="1" applyBorder="1" applyAlignment="1">
      <alignment horizontal="center"/>
    </xf>
    <xf numFmtId="164" fontId="51" fillId="18" borderId="85" xfId="0" applyNumberFormat="1" applyFont="1" applyFill="1" applyBorder="1" applyAlignment="1">
      <alignment horizontal="center"/>
    </xf>
    <xf numFmtId="164" fontId="51" fillId="18" borderId="86" xfId="0" applyNumberFormat="1" applyFont="1" applyFill="1" applyBorder="1" applyAlignment="1">
      <alignment horizontal="center"/>
    </xf>
    <xf numFmtId="9" fontId="51" fillId="18" borderId="85" xfId="0" applyNumberFormat="1" applyFont="1" applyFill="1" applyBorder="1" applyAlignment="1">
      <alignment horizontal="center"/>
    </xf>
    <xf numFmtId="164" fontId="51" fillId="18" borderId="87" xfId="0" applyNumberFormat="1" applyFont="1" applyFill="1" applyBorder="1" applyAlignment="1">
      <alignment horizontal="center"/>
    </xf>
    <xf numFmtId="164" fontId="51" fillId="18" borderId="88" xfId="0" applyNumberFormat="1" applyFont="1" applyFill="1" applyBorder="1" applyAlignment="1">
      <alignment horizontal="center"/>
    </xf>
    <xf numFmtId="164" fontId="51" fillId="17" borderId="88" xfId="0" applyNumberFormat="1" applyFont="1" applyFill="1" applyBorder="1" applyAlignment="1">
      <alignment horizontal="center"/>
    </xf>
    <xf numFmtId="164" fontId="51" fillId="18" borderId="90" xfId="0" applyNumberFormat="1" applyFont="1" applyFill="1" applyBorder="1" applyAlignment="1">
      <alignment horizontal="center"/>
    </xf>
    <xf numFmtId="164" fontId="51" fillId="18" borderId="91" xfId="0" applyNumberFormat="1" applyFont="1" applyFill="1" applyBorder="1" applyAlignment="1">
      <alignment horizontal="center"/>
    </xf>
    <xf numFmtId="9" fontId="51" fillId="18" borderId="77" xfId="0" applyNumberFormat="1" applyFont="1" applyFill="1" applyBorder="1" applyAlignment="1">
      <alignment horizontal="center"/>
    </xf>
    <xf numFmtId="164" fontId="51" fillId="18" borderId="92" xfId="0" applyNumberFormat="1" applyFont="1" applyFill="1" applyBorder="1" applyAlignment="1">
      <alignment horizontal="center"/>
    </xf>
    <xf numFmtId="164" fontId="51" fillId="18" borderId="93" xfId="0" applyNumberFormat="1" applyFont="1" applyFill="1" applyBorder="1" applyAlignment="1">
      <alignment horizontal="center"/>
    </xf>
    <xf numFmtId="164" fontId="51" fillId="18" borderId="94" xfId="0" applyNumberFormat="1" applyFont="1" applyFill="1" applyBorder="1" applyAlignment="1">
      <alignment horizontal="center"/>
    </xf>
    <xf numFmtId="164" fontId="51" fillId="18" borderId="95" xfId="0" applyNumberFormat="1" applyFont="1" applyFill="1" applyBorder="1" applyAlignment="1">
      <alignment horizontal="center"/>
    </xf>
    <xf numFmtId="164" fontId="51" fillId="18" borderId="96" xfId="0" applyNumberFormat="1" applyFont="1" applyFill="1" applyBorder="1" applyAlignment="1">
      <alignment horizontal="center"/>
    </xf>
    <xf numFmtId="164" fontId="51" fillId="18" borderId="97" xfId="0" applyNumberFormat="1" applyFont="1" applyFill="1" applyBorder="1" applyAlignment="1">
      <alignment horizontal="center"/>
    </xf>
    <xf numFmtId="164" fontId="51" fillId="18" borderId="98" xfId="0" applyNumberFormat="1" applyFont="1" applyFill="1" applyBorder="1" applyAlignment="1">
      <alignment horizontal="center"/>
    </xf>
    <xf numFmtId="164" fontId="51" fillId="18" borderId="99" xfId="0" applyNumberFormat="1" applyFont="1" applyFill="1" applyBorder="1" applyAlignment="1">
      <alignment horizontal="center"/>
    </xf>
    <xf numFmtId="164" fontId="51" fillId="18" borderId="100" xfId="0" applyNumberFormat="1" applyFont="1" applyFill="1" applyBorder="1" applyAlignment="1">
      <alignment horizontal="center"/>
    </xf>
    <xf numFmtId="164" fontId="51" fillId="18" borderId="101" xfId="0" applyNumberFormat="1" applyFont="1" applyFill="1" applyBorder="1" applyAlignment="1">
      <alignment horizontal="center"/>
    </xf>
    <xf numFmtId="164" fontId="51" fillId="18" borderId="102" xfId="0" applyNumberFormat="1" applyFont="1" applyFill="1" applyBorder="1" applyAlignment="1">
      <alignment horizontal="center"/>
    </xf>
    <xf numFmtId="164" fontId="51" fillId="18" borderId="103" xfId="0" applyNumberFormat="1" applyFont="1" applyFill="1" applyBorder="1" applyAlignment="1">
      <alignment horizontal="center"/>
    </xf>
    <xf numFmtId="164" fontId="51" fillId="18" borderId="104" xfId="0" applyNumberFormat="1" applyFont="1" applyFill="1" applyBorder="1" applyAlignment="1">
      <alignment horizontal="center"/>
    </xf>
    <xf numFmtId="164" fontId="51" fillId="18" borderId="105" xfId="0" applyNumberFormat="1" applyFont="1" applyFill="1" applyBorder="1" applyAlignment="1">
      <alignment horizontal="center"/>
    </xf>
    <xf numFmtId="164" fontId="51" fillId="18" borderId="106" xfId="0" applyNumberFormat="1" applyFont="1" applyFill="1" applyBorder="1" applyAlignment="1">
      <alignment horizontal="center"/>
    </xf>
    <xf numFmtId="164" fontId="51" fillId="18" borderId="107" xfId="0" applyNumberFormat="1" applyFont="1" applyFill="1" applyBorder="1" applyAlignment="1">
      <alignment horizontal="center"/>
    </xf>
    <xf numFmtId="164" fontId="51" fillId="18" borderId="108" xfId="0" applyNumberFormat="1" applyFont="1" applyFill="1" applyBorder="1" applyAlignment="1">
      <alignment horizontal="center"/>
    </xf>
    <xf numFmtId="9" fontId="51" fillId="18" borderId="93" xfId="0" applyNumberFormat="1" applyFont="1" applyFill="1" applyBorder="1" applyAlignment="1">
      <alignment horizontal="center"/>
    </xf>
    <xf numFmtId="9" fontId="51" fillId="18" borderId="92" xfId="0" applyNumberFormat="1" applyFont="1" applyFill="1" applyBorder="1" applyAlignment="1">
      <alignment horizontal="center"/>
    </xf>
    <xf numFmtId="9" fontId="51" fillId="18" borderId="94" xfId="0" applyNumberFormat="1" applyFont="1" applyFill="1" applyBorder="1" applyAlignment="1">
      <alignment horizontal="center"/>
    </xf>
    <xf numFmtId="9" fontId="51" fillId="18" borderId="101" xfId="0" applyNumberFormat="1" applyFont="1" applyFill="1" applyBorder="1" applyAlignment="1">
      <alignment horizontal="center"/>
    </xf>
    <xf numFmtId="9" fontId="51" fillId="18" borderId="98" xfId="0" applyNumberFormat="1" applyFont="1" applyFill="1" applyBorder="1" applyAlignment="1">
      <alignment horizontal="center"/>
    </xf>
    <xf numFmtId="9" fontId="51" fillId="18" borderId="102" xfId="0" applyNumberFormat="1" applyFont="1" applyFill="1" applyBorder="1" applyAlignment="1">
      <alignment horizontal="center"/>
    </xf>
    <xf numFmtId="9" fontId="51" fillId="18" borderId="74" xfId="0" applyNumberFormat="1" applyFont="1" applyFill="1" applyBorder="1" applyAlignment="1">
      <alignment horizontal="center"/>
    </xf>
    <xf numFmtId="9" fontId="51" fillId="18" borderId="107" xfId="0" applyNumberFormat="1" applyFont="1" applyFill="1" applyBorder="1" applyAlignment="1">
      <alignment horizontal="center"/>
    </xf>
    <xf numFmtId="9" fontId="51" fillId="18" borderId="87" xfId="0" applyNumberFormat="1" applyFont="1" applyFill="1" applyBorder="1" applyAlignment="1">
      <alignment horizontal="center"/>
    </xf>
    <xf numFmtId="9" fontId="51" fillId="18" borderId="105" xfId="0" applyNumberFormat="1" applyFont="1" applyFill="1" applyBorder="1" applyAlignment="1">
      <alignment horizontal="center"/>
    </xf>
    <xf numFmtId="9" fontId="51" fillId="18" borderId="88" xfId="0" applyNumberFormat="1" applyFont="1" applyFill="1" applyBorder="1" applyAlignment="1">
      <alignment horizontal="center"/>
    </xf>
    <xf numFmtId="9" fontId="51" fillId="18" borderId="103" xfId="0" applyNumberFormat="1" applyFont="1" applyFill="1" applyBorder="1" applyAlignment="1">
      <alignment horizontal="center"/>
    </xf>
    <xf numFmtId="9" fontId="51" fillId="18" borderId="106" xfId="0" applyNumberFormat="1" applyFont="1" applyFill="1" applyBorder="1" applyAlignment="1">
      <alignment horizontal="center"/>
    </xf>
    <xf numFmtId="164" fontId="51" fillId="17" borderId="87" xfId="0" applyNumberFormat="1" applyFont="1" applyFill="1" applyBorder="1" applyAlignment="1">
      <alignment horizontal="center"/>
    </xf>
    <xf numFmtId="164" fontId="51" fillId="18" borderId="109" xfId="0" applyNumberFormat="1" applyFont="1" applyFill="1" applyBorder="1" applyAlignment="1">
      <alignment horizontal="center"/>
    </xf>
    <xf numFmtId="164" fontId="51" fillId="18" borderId="110" xfId="0" applyNumberFormat="1" applyFont="1" applyFill="1" applyBorder="1" applyAlignment="1">
      <alignment horizontal="center"/>
    </xf>
    <xf numFmtId="164" fontId="51" fillId="18" borderId="111" xfId="0" applyNumberFormat="1" applyFont="1" applyFill="1" applyBorder="1" applyAlignment="1">
      <alignment horizontal="center"/>
    </xf>
    <xf numFmtId="164" fontId="51" fillId="18" borderId="112" xfId="0" applyNumberFormat="1" applyFont="1" applyFill="1" applyBorder="1" applyAlignment="1">
      <alignment horizontal="center"/>
    </xf>
    <xf numFmtId="0" fontId="6" fillId="17" borderId="10" xfId="0" applyFont="1" applyFill="1" applyBorder="1" applyAlignment="1">
      <alignment horizontal="center"/>
    </xf>
    <xf numFmtId="9" fontId="51" fillId="18" borderId="89" xfId="0" applyNumberFormat="1" applyFont="1" applyFill="1" applyBorder="1" applyAlignment="1">
      <alignment horizontal="center"/>
    </xf>
    <xf numFmtId="0" fontId="6" fillId="2" borderId="10" xfId="0" applyFont="1" applyFill="1" applyBorder="1" applyAlignment="1">
      <alignment horizontal="center"/>
    </xf>
    <xf numFmtId="9" fontId="51" fillId="17" borderId="88" xfId="0" applyNumberFormat="1" applyFont="1" applyFill="1" applyBorder="1" applyAlignment="1">
      <alignment horizontal="center"/>
    </xf>
    <xf numFmtId="9" fontId="51" fillId="17" borderId="74" xfId="0" applyNumberFormat="1" applyFont="1" applyFill="1" applyBorder="1" applyAlignment="1">
      <alignment horizontal="center"/>
    </xf>
    <xf numFmtId="9" fontId="51" fillId="17" borderId="94" xfId="0" applyNumberFormat="1" applyFont="1" applyFill="1" applyBorder="1" applyAlignment="1">
      <alignment horizontal="center"/>
    </xf>
    <xf numFmtId="9" fontId="51" fillId="17" borderId="106" xfId="0" applyNumberFormat="1" applyFont="1" applyFill="1" applyBorder="1" applyAlignment="1">
      <alignment horizontal="center"/>
    </xf>
    <xf numFmtId="0" fontId="53" fillId="12" borderId="10" xfId="0" applyFont="1" applyFill="1" applyBorder="1" applyAlignment="1">
      <alignment horizontal="left" vertical="center" indent="1"/>
    </xf>
    <xf numFmtId="0" fontId="53" fillId="12" borderId="11" xfId="0" applyFont="1" applyFill="1" applyBorder="1" applyAlignment="1">
      <alignment vertical="center"/>
    </xf>
    <xf numFmtId="0" fontId="53" fillId="12" borderId="11" xfId="0" applyFont="1" applyFill="1" applyBorder="1" applyAlignment="1">
      <alignment horizontal="center" vertical="center"/>
    </xf>
    <xf numFmtId="0" fontId="53" fillId="12" borderId="12" xfId="0" applyFont="1" applyFill="1" applyBorder="1" applyAlignment="1">
      <alignment horizontal="center" vertical="center"/>
    </xf>
    <xf numFmtId="0" fontId="2" fillId="4" borderId="21" xfId="0" applyFont="1" applyFill="1" applyBorder="1" applyAlignment="1">
      <alignment horizontal="center" vertical="center" textRotation="90"/>
    </xf>
    <xf numFmtId="0" fontId="2" fillId="4" borderId="23" xfId="0" applyFont="1" applyFill="1" applyBorder="1" applyAlignment="1">
      <alignment horizontal="center" vertical="center" textRotation="90"/>
    </xf>
    <xf numFmtId="0" fontId="2" fillId="4" borderId="22" xfId="0" applyFont="1" applyFill="1" applyBorder="1" applyAlignment="1">
      <alignment horizontal="center" vertical="center" textRotation="90"/>
    </xf>
    <xf numFmtId="0" fontId="2" fillId="3" borderId="1" xfId="0" applyFont="1" applyFill="1" applyBorder="1" applyAlignment="1">
      <alignment horizontal="left" indent="1"/>
    </xf>
    <xf numFmtId="0" fontId="2" fillId="3" borderId="8" xfId="0" applyFont="1" applyFill="1" applyBorder="1" applyAlignment="1">
      <alignment horizontal="left" indent="1"/>
    </xf>
    <xf numFmtId="0" fontId="2" fillId="3" borderId="2" xfId="0" applyFont="1" applyFill="1" applyBorder="1" applyAlignment="1">
      <alignment horizontal="left" indent="1"/>
    </xf>
    <xf numFmtId="0" fontId="2" fillId="3" borderId="0" xfId="0" applyFont="1" applyFill="1" applyAlignment="1">
      <alignment horizontal="left" indent="1"/>
    </xf>
    <xf numFmtId="0" fontId="2" fillId="3" borderId="3" xfId="0" applyFont="1" applyFill="1" applyBorder="1" applyAlignment="1">
      <alignment horizontal="left" indent="1"/>
    </xf>
    <xf numFmtId="0" fontId="2" fillId="3" borderId="9" xfId="0" applyFont="1" applyFill="1" applyBorder="1" applyAlignment="1">
      <alignment horizontal="left" indent="1"/>
    </xf>
    <xf numFmtId="0" fontId="3" fillId="3" borderId="3" xfId="0" applyFont="1" applyFill="1" applyBorder="1"/>
    <xf numFmtId="0" fontId="3" fillId="3" borderId="7" xfId="0" applyFont="1" applyFill="1" applyBorder="1"/>
    <xf numFmtId="0" fontId="2" fillId="2" borderId="10" xfId="0" applyFont="1" applyFill="1" applyBorder="1" applyAlignment="1">
      <alignment horizontal="center" vertical="center"/>
    </xf>
    <xf numFmtId="0" fontId="2" fillId="2" borderId="12" xfId="0" applyFont="1" applyFill="1" applyBorder="1" applyAlignment="1">
      <alignment horizontal="center" vertical="center"/>
    </xf>
    <xf numFmtId="0" fontId="2" fillId="3" borderId="10" xfId="0" applyFont="1" applyFill="1" applyBorder="1" applyAlignment="1">
      <alignment horizontal="left" indent="1"/>
    </xf>
    <xf numFmtId="0" fontId="2" fillId="3" borderId="11" xfId="0" applyFont="1" applyFill="1" applyBorder="1" applyAlignment="1">
      <alignment horizontal="left" indent="1"/>
    </xf>
    <xf numFmtId="0" fontId="33" fillId="12" borderId="36" xfId="0" applyFont="1" applyFill="1" applyBorder="1" applyAlignment="1">
      <alignment horizontal="center" vertical="center"/>
    </xf>
    <xf numFmtId="0" fontId="33" fillId="12" borderId="8" xfId="0" applyFont="1" applyFill="1" applyBorder="1" applyAlignment="1">
      <alignment horizontal="center" vertical="center"/>
    </xf>
    <xf numFmtId="0" fontId="33" fillId="12" borderId="5" xfId="0" applyFont="1" applyFill="1" applyBorder="1" applyAlignment="1">
      <alignment horizontal="center" vertical="center"/>
    </xf>
    <xf numFmtId="1" fontId="3" fillId="3" borderId="8" xfId="0" applyNumberFormat="1" applyFont="1" applyFill="1" applyBorder="1" applyAlignment="1">
      <alignment horizontal="center"/>
    </xf>
    <xf numFmtId="1" fontId="3" fillId="3" borderId="12" xfId="0" applyNumberFormat="1" applyFont="1" applyFill="1" applyBorder="1" applyAlignment="1">
      <alignment horizontal="center"/>
    </xf>
    <xf numFmtId="9" fontId="3" fillId="3" borderId="0" xfId="0" applyNumberFormat="1" applyFont="1" applyFill="1" applyAlignment="1">
      <alignment horizontal="center" vertical="center"/>
    </xf>
    <xf numFmtId="1" fontId="3" fillId="3" borderId="6" xfId="0" applyNumberFormat="1" applyFont="1" applyFill="1" applyBorder="1" applyAlignment="1">
      <alignment horizontal="center" vertical="center"/>
    </xf>
    <xf numFmtId="171" fontId="3" fillId="3" borderId="0" xfId="0" applyNumberFormat="1" applyFont="1" applyFill="1" applyAlignment="1">
      <alignment horizontal="center"/>
    </xf>
    <xf numFmtId="1" fontId="3" fillId="3" borderId="6" xfId="0" applyNumberFormat="1" applyFont="1" applyFill="1" applyBorder="1" applyAlignment="1">
      <alignment horizontal="center"/>
    </xf>
    <xf numFmtId="164" fontId="3" fillId="3" borderId="0" xfId="0" applyNumberFormat="1" applyFont="1" applyFill="1" applyAlignment="1">
      <alignment horizontal="center"/>
    </xf>
    <xf numFmtId="164" fontId="3" fillId="3" borderId="9" xfId="0" applyNumberFormat="1" applyFont="1" applyFill="1" applyBorder="1" applyAlignment="1">
      <alignment horizontal="center"/>
    </xf>
    <xf numFmtId="1" fontId="3" fillId="3" borderId="7" xfId="0" applyNumberFormat="1" applyFont="1" applyFill="1" applyBorder="1" applyAlignment="1">
      <alignment horizontal="center"/>
    </xf>
    <xf numFmtId="14" fontId="3" fillId="3" borderId="0" xfId="0" applyNumberFormat="1" applyFont="1" applyFill="1" applyAlignment="1">
      <alignment horizontal="center"/>
    </xf>
    <xf numFmtId="14" fontId="3" fillId="3" borderId="6" xfId="0" applyNumberFormat="1" applyFont="1" applyFill="1" applyBorder="1" applyAlignment="1">
      <alignment horizontal="center"/>
    </xf>
    <xf numFmtId="14" fontId="3" fillId="3" borderId="9" xfId="0" applyNumberFormat="1" applyFont="1" applyFill="1" applyBorder="1" applyAlignment="1">
      <alignment horizontal="center"/>
    </xf>
    <xf numFmtId="14" fontId="3" fillId="3" borderId="7" xfId="0" applyNumberFormat="1" applyFont="1" applyFill="1" applyBorder="1" applyAlignment="1">
      <alignment horizontal="center"/>
    </xf>
    <xf numFmtId="0" fontId="2" fillId="4" borderId="10" xfId="0" applyFont="1" applyFill="1" applyBorder="1" applyAlignment="1">
      <alignment horizontal="center" vertical="center"/>
    </xf>
    <xf numFmtId="0" fontId="2" fillId="4" borderId="12" xfId="0" applyFont="1" applyFill="1" applyBorder="1" applyAlignment="1">
      <alignment horizontal="center" vertical="center"/>
    </xf>
    <xf numFmtId="0" fontId="3" fillId="3" borderId="1" xfId="0" applyFont="1" applyFill="1" applyBorder="1"/>
    <xf numFmtId="0" fontId="3" fillId="3" borderId="5" xfId="0" applyFont="1" applyFill="1" applyBorder="1"/>
    <xf numFmtId="0" fontId="3" fillId="3" borderId="2" xfId="0" applyFont="1" applyFill="1" applyBorder="1"/>
    <xf numFmtId="0" fontId="3" fillId="3" borderId="6" xfId="0" applyFont="1" applyFill="1" applyBorder="1"/>
    <xf numFmtId="0" fontId="2" fillId="2" borderId="21" xfId="0" applyFont="1" applyFill="1" applyBorder="1" applyAlignment="1">
      <alignment horizontal="center" vertical="center" textRotation="90"/>
    </xf>
    <xf numFmtId="0" fontId="2" fillId="2" borderId="23" xfId="0" applyFont="1" applyFill="1" applyBorder="1" applyAlignment="1">
      <alignment horizontal="center" vertical="center" textRotation="90"/>
    </xf>
    <xf numFmtId="0" fontId="2" fillId="2" borderId="22" xfId="0" applyFont="1" applyFill="1" applyBorder="1" applyAlignment="1">
      <alignment horizontal="center" vertical="center" textRotation="90"/>
    </xf>
    <xf numFmtId="164" fontId="3" fillId="3" borderId="7" xfId="0" applyNumberFormat="1" applyFont="1" applyFill="1" applyBorder="1" applyAlignment="1">
      <alignment horizontal="center"/>
    </xf>
    <xf numFmtId="164" fontId="3" fillId="3" borderId="5" xfId="0" applyNumberFormat="1" applyFont="1" applyFill="1" applyBorder="1" applyAlignment="1">
      <alignment horizontal="center"/>
    </xf>
    <xf numFmtId="9" fontId="3" fillId="3" borderId="6" xfId="1" applyFont="1" applyFill="1" applyBorder="1" applyAlignment="1" applyProtection="1">
      <alignment horizontal="center" vertical="center"/>
    </xf>
    <xf numFmtId="0" fontId="42" fillId="12" borderId="71" xfId="0" applyFont="1" applyFill="1" applyBorder="1" applyAlignment="1">
      <alignment horizontal="center" vertical="center" textRotation="90"/>
    </xf>
    <xf numFmtId="0" fontId="14" fillId="12" borderId="71" xfId="0" applyFont="1" applyFill="1" applyBorder="1" applyAlignment="1">
      <alignment horizontal="center" vertical="center" textRotation="90"/>
    </xf>
    <xf numFmtId="0" fontId="33" fillId="12" borderId="1" xfId="0" applyFont="1" applyFill="1" applyBorder="1" applyAlignment="1">
      <alignment horizontal="center" vertical="center"/>
    </xf>
    <xf numFmtId="0" fontId="2" fillId="4" borderId="3" xfId="0" applyFont="1" applyFill="1" applyBorder="1" applyAlignment="1">
      <alignment horizontal="center" vertical="center" wrapText="1"/>
    </xf>
    <xf numFmtId="0" fontId="2" fillId="4" borderId="9" xfId="0" applyFont="1" applyFill="1" applyBorder="1" applyAlignment="1">
      <alignment horizontal="center" vertical="center" wrapText="1"/>
    </xf>
    <xf numFmtId="0" fontId="2" fillId="4" borderId="7" xfId="0" applyFont="1" applyFill="1" applyBorder="1" applyAlignment="1">
      <alignment horizontal="center" vertical="center" wrapText="1"/>
    </xf>
    <xf numFmtId="164" fontId="3" fillId="3" borderId="8" xfId="0" applyNumberFormat="1" applyFont="1" applyFill="1" applyBorder="1" applyAlignment="1">
      <alignment horizontal="center"/>
    </xf>
    <xf numFmtId="9" fontId="3" fillId="3" borderId="0" xfId="1" applyFont="1" applyFill="1" applyBorder="1" applyAlignment="1" applyProtection="1">
      <alignment horizontal="center" vertical="center"/>
    </xf>
    <xf numFmtId="0" fontId="2" fillId="10" borderId="8" xfId="0" applyFont="1" applyFill="1" applyBorder="1" applyAlignment="1">
      <alignment horizontal="left" indent="1"/>
    </xf>
    <xf numFmtId="0" fontId="2" fillId="10" borderId="5" xfId="0" applyFont="1" applyFill="1" applyBorder="1" applyAlignment="1">
      <alignment horizontal="left" indent="1"/>
    </xf>
    <xf numFmtId="0" fontId="2" fillId="10" borderId="0" xfId="0" applyFont="1" applyFill="1" applyAlignment="1">
      <alignment horizontal="left" indent="1"/>
    </xf>
    <xf numFmtId="0" fontId="2" fillId="10" borderId="6" xfId="0" applyFont="1" applyFill="1" applyBorder="1" applyAlignment="1">
      <alignment horizontal="left" indent="1"/>
    </xf>
    <xf numFmtId="0" fontId="9" fillId="3" borderId="0" xfId="0" applyFont="1" applyFill="1" applyAlignment="1">
      <alignment horizontal="center"/>
    </xf>
    <xf numFmtId="0" fontId="35" fillId="12" borderId="11" xfId="0" applyFont="1" applyFill="1" applyBorder="1" applyAlignment="1">
      <alignment horizontal="center" vertical="center"/>
    </xf>
    <xf numFmtId="0" fontId="35" fillId="12" borderId="12" xfId="0" applyFont="1" applyFill="1" applyBorder="1" applyAlignment="1">
      <alignment horizontal="center" vertical="center"/>
    </xf>
    <xf numFmtId="0" fontId="24" fillId="12" borderId="71" xfId="0" applyFont="1" applyFill="1" applyBorder="1" applyAlignment="1">
      <alignment horizontal="center" vertical="center" textRotation="90"/>
    </xf>
    <xf numFmtId="0" fontId="8" fillId="3" borderId="10" xfId="0" applyFont="1" applyFill="1" applyBorder="1" applyAlignment="1">
      <alignment horizontal="center"/>
    </xf>
    <xf numFmtId="0" fontId="8" fillId="3" borderId="11" xfId="0" applyFont="1" applyFill="1" applyBorder="1" applyAlignment="1">
      <alignment horizontal="center"/>
    </xf>
    <xf numFmtId="0" fontId="8" fillId="3" borderId="12" xfId="0" applyFont="1" applyFill="1" applyBorder="1" applyAlignment="1">
      <alignment horizontal="center"/>
    </xf>
    <xf numFmtId="0" fontId="6" fillId="17" borderId="8" xfId="0" applyFont="1" applyFill="1" applyBorder="1" applyAlignment="1">
      <alignment horizontal="center"/>
    </xf>
    <xf numFmtId="0" fontId="6" fillId="17" borderId="5" xfId="0" applyFont="1" applyFill="1" applyBorder="1" applyAlignment="1">
      <alignment horizontal="center"/>
    </xf>
    <xf numFmtId="0" fontId="6" fillId="2" borderId="8" xfId="0" applyFont="1" applyFill="1" applyBorder="1" applyAlignment="1">
      <alignment horizontal="center"/>
    </xf>
    <xf numFmtId="0" fontId="6" fillId="7" borderId="3" xfId="0" applyFont="1" applyFill="1" applyBorder="1"/>
    <xf numFmtId="0" fontId="6" fillId="7" borderId="9" xfId="0" applyFont="1" applyFill="1" applyBorder="1"/>
    <xf numFmtId="0" fontId="41" fillId="12" borderId="71" xfId="0" applyFont="1" applyFill="1" applyBorder="1" applyAlignment="1">
      <alignment horizontal="center" vertical="center" textRotation="90"/>
    </xf>
    <xf numFmtId="0" fontId="25" fillId="12" borderId="71" xfId="0" applyFont="1" applyFill="1" applyBorder="1" applyAlignment="1">
      <alignment horizontal="center" vertical="center" textRotation="90"/>
    </xf>
    <xf numFmtId="0" fontId="34" fillId="12" borderId="1" xfId="0" applyFont="1" applyFill="1" applyBorder="1"/>
    <xf numFmtId="0" fontId="34" fillId="12" borderId="8" xfId="0" applyFont="1" applyFill="1" applyBorder="1"/>
    <xf numFmtId="0" fontId="6" fillId="7" borderId="2" xfId="0" applyFont="1" applyFill="1" applyBorder="1"/>
    <xf numFmtId="0" fontId="6" fillId="7" borderId="0" xfId="0" applyFont="1" applyFill="1"/>
    <xf numFmtId="0" fontId="13" fillId="5" borderId="13"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3" fillId="5" borderId="15" xfId="0" applyFont="1" applyFill="1" applyBorder="1" applyAlignment="1">
      <alignment horizontal="center" vertical="center" wrapText="1"/>
    </xf>
    <xf numFmtId="0" fontId="13" fillId="5" borderId="16" xfId="0" applyFont="1" applyFill="1" applyBorder="1" applyAlignment="1">
      <alignment horizontal="center" vertical="center" wrapText="1"/>
    </xf>
    <xf numFmtId="0" fontId="13" fillId="5" borderId="0" xfId="0" applyFont="1" applyFill="1" applyAlignment="1">
      <alignment horizontal="center" vertical="center" wrapText="1"/>
    </xf>
    <xf numFmtId="0" fontId="13" fillId="5" borderId="17" xfId="0" applyFont="1" applyFill="1" applyBorder="1" applyAlignment="1">
      <alignment horizontal="center" vertical="center" wrapText="1"/>
    </xf>
    <xf numFmtId="0" fontId="13" fillId="5" borderId="18" xfId="0" applyFont="1" applyFill="1" applyBorder="1" applyAlignment="1">
      <alignment horizontal="center" vertical="center" wrapText="1"/>
    </xf>
    <xf numFmtId="0" fontId="13" fillId="5" borderId="19" xfId="0" applyFont="1" applyFill="1" applyBorder="1" applyAlignment="1">
      <alignment horizontal="center" vertical="center" wrapText="1"/>
    </xf>
    <xf numFmtId="0" fontId="13" fillId="5" borderId="20" xfId="0" applyFont="1" applyFill="1" applyBorder="1" applyAlignment="1">
      <alignment horizontal="center" vertical="center" wrapText="1"/>
    </xf>
    <xf numFmtId="0" fontId="21" fillId="6" borderId="10" xfId="0" applyFont="1" applyFill="1" applyBorder="1" applyAlignment="1">
      <alignment horizontal="center"/>
    </xf>
    <xf numFmtId="0" fontId="21" fillId="6" borderId="11" xfId="0" applyFont="1" applyFill="1" applyBorder="1" applyAlignment="1">
      <alignment horizontal="center"/>
    </xf>
    <xf numFmtId="0" fontId="21" fillId="6" borderId="12" xfId="0" applyFont="1" applyFill="1" applyBorder="1" applyAlignment="1">
      <alignment horizontal="center"/>
    </xf>
    <xf numFmtId="0" fontId="26" fillId="12" borderId="6" xfId="0" applyFont="1" applyFill="1" applyBorder="1" applyAlignment="1">
      <alignment horizontal="center" vertical="center" textRotation="90"/>
    </xf>
    <xf numFmtId="164" fontId="40" fillId="16" borderId="0" xfId="0" applyNumberFormat="1" applyFont="1" applyFill="1" applyAlignment="1">
      <alignment horizontal="center" vertical="center"/>
    </xf>
    <xf numFmtId="164" fontId="40" fillId="16" borderId="9" xfId="0" applyNumberFormat="1" applyFont="1" applyFill="1" applyBorder="1" applyAlignment="1">
      <alignment horizontal="center" vertical="center"/>
    </xf>
    <xf numFmtId="0" fontId="33" fillId="12" borderId="1" xfId="0" applyFont="1" applyFill="1" applyBorder="1" applyAlignment="1">
      <alignment horizontal="left" vertical="center" indent="1"/>
    </xf>
    <xf numFmtId="0" fontId="33" fillId="12" borderId="8" xfId="0" applyFont="1" applyFill="1" applyBorder="1" applyAlignment="1">
      <alignment horizontal="left" vertical="center" indent="1"/>
    </xf>
    <xf numFmtId="0" fontId="2" fillId="4" borderId="1" xfId="0" applyFont="1" applyFill="1" applyBorder="1" applyAlignment="1">
      <alignment horizontal="left" indent="1"/>
    </xf>
    <xf numFmtId="0" fontId="2" fillId="4" borderId="8" xfId="0" applyFont="1" applyFill="1" applyBorder="1" applyAlignment="1">
      <alignment horizontal="left" indent="1"/>
    </xf>
    <xf numFmtId="0" fontId="21" fillId="7" borderId="25" xfId="0" applyFont="1" applyFill="1" applyBorder="1" applyAlignment="1">
      <alignment horizontal="center"/>
    </xf>
    <xf numFmtId="0" fontId="3" fillId="4" borderId="8" xfId="0" applyFont="1" applyFill="1" applyBorder="1" applyAlignment="1">
      <alignment horizontal="center" vertical="center"/>
    </xf>
    <xf numFmtId="0" fontId="21" fillId="7" borderId="10" xfId="0" applyFont="1" applyFill="1" applyBorder="1" applyAlignment="1">
      <alignment horizontal="left"/>
    </xf>
    <xf numFmtId="0" fontId="21" fillId="7" borderId="12" xfId="0" applyFont="1" applyFill="1" applyBorder="1" applyAlignment="1">
      <alignment horizontal="left"/>
    </xf>
    <xf numFmtId="0" fontId="21" fillId="7" borderId="27" xfId="0" applyFont="1" applyFill="1" applyBorder="1" applyAlignment="1">
      <alignment horizontal="center"/>
    </xf>
    <xf numFmtId="0" fontId="21" fillId="7" borderId="28" xfId="0" applyFont="1" applyFill="1" applyBorder="1" applyAlignment="1">
      <alignment horizontal="center"/>
    </xf>
    <xf numFmtId="0" fontId="21" fillId="7" borderId="29" xfId="0" applyFont="1" applyFill="1" applyBorder="1" applyAlignment="1">
      <alignment horizontal="center"/>
    </xf>
    <xf numFmtId="0" fontId="21" fillId="7" borderId="1" xfId="0" applyFont="1" applyFill="1" applyBorder="1" applyAlignment="1">
      <alignment horizontal="center"/>
    </xf>
    <xf numFmtId="0" fontId="21" fillId="7" borderId="8" xfId="0" applyFont="1" applyFill="1" applyBorder="1" applyAlignment="1">
      <alignment horizontal="center"/>
    </xf>
    <xf numFmtId="0" fontId="21" fillId="7" borderId="5" xfId="0" applyFont="1" applyFill="1" applyBorder="1" applyAlignment="1">
      <alignment horizontal="center"/>
    </xf>
    <xf numFmtId="0" fontId="4" fillId="3" borderId="0" xfId="0" applyFont="1" applyFill="1" applyBorder="1" applyAlignment="1">
      <alignment horizontal="left" indent="1"/>
    </xf>
    <xf numFmtId="0" fontId="6" fillId="2" borderId="0" xfId="0" applyFont="1" applyFill="1" applyBorder="1" applyAlignment="1">
      <alignment horizontal="center"/>
    </xf>
    <xf numFmtId="0" fontId="6" fillId="17" borderId="0" xfId="0" applyFont="1" applyFill="1" applyBorder="1" applyAlignment="1">
      <alignment horizontal="center"/>
    </xf>
    <xf numFmtId="0" fontId="4" fillId="3" borderId="0" xfId="0" applyFont="1" applyFill="1" applyBorder="1" applyAlignment="1">
      <alignment horizontal="center"/>
    </xf>
    <xf numFmtId="0" fontId="6" fillId="3" borderId="0" xfId="0" applyFont="1" applyFill="1" applyBorder="1" applyAlignment="1">
      <alignment horizontal="center"/>
    </xf>
    <xf numFmtId="164" fontId="7" fillId="3" borderId="0" xfId="0" applyNumberFormat="1" applyFont="1" applyFill="1" applyBorder="1" applyAlignment="1">
      <alignment horizontal="center"/>
    </xf>
    <xf numFmtId="9" fontId="51" fillId="18" borderId="0" xfId="0" applyNumberFormat="1" applyFont="1" applyFill="1" applyBorder="1" applyAlignment="1">
      <alignment horizontal="center"/>
    </xf>
    <xf numFmtId="164" fontId="51" fillId="18" borderId="0" xfId="0" applyNumberFormat="1" applyFont="1" applyFill="1" applyBorder="1" applyAlignment="1">
      <alignment horizontal="center"/>
    </xf>
    <xf numFmtId="0" fontId="7" fillId="3" borderId="0" xfId="0" applyFont="1" applyFill="1" applyBorder="1" applyAlignment="1">
      <alignment horizontal="center"/>
    </xf>
    <xf numFmtId="164" fontId="5" fillId="3" borderId="0" xfId="0" applyNumberFormat="1" applyFont="1" applyFill="1" applyBorder="1" applyAlignment="1">
      <alignment horizontal="center"/>
    </xf>
    <xf numFmtId="0" fontId="5" fillId="3" borderId="0" xfId="0" applyFont="1" applyFill="1" applyBorder="1" applyAlignment="1">
      <alignment horizontal="center"/>
    </xf>
    <xf numFmtId="0" fontId="5" fillId="3" borderId="0" xfId="0" applyFont="1" applyFill="1" applyBorder="1"/>
    <xf numFmtId="1" fontId="4" fillId="3" borderId="0" xfId="0" applyNumberFormat="1" applyFont="1" applyFill="1" applyBorder="1" applyAlignment="1">
      <alignment horizontal="center"/>
    </xf>
  </cellXfs>
  <cellStyles count="3">
    <cellStyle name="Prozent" xfId="1" builtinId="5"/>
    <cellStyle name="Schlecht" xfId="2" builtinId="27"/>
    <cellStyle name="Standard" xfId="0" builtinId="0"/>
  </cellStyles>
  <dxfs count="1351">
    <dxf>
      <numFmt numFmtId="30" formatCode="@"/>
    </dxf>
    <dxf>
      <font>
        <color rgb="FF004D86"/>
        <family val="2"/>
      </font>
      <fill>
        <patternFill patternType="solid">
          <fgColor indexed="64"/>
          <bgColor theme="4" tint="0.59999389629810485"/>
        </patternFill>
      </fill>
    </dxf>
    <dxf>
      <numFmt numFmtId="30" formatCode="@"/>
    </dxf>
    <dxf>
      <font>
        <color rgb="FF004D86"/>
        <family val="2"/>
      </font>
      <fill>
        <patternFill patternType="solid">
          <fgColor indexed="64"/>
          <bgColor theme="4" tint="0.59999389629810485"/>
        </patternFill>
      </fill>
    </dxf>
    <dxf>
      <numFmt numFmtId="30" formatCode="@"/>
    </dxf>
    <dxf>
      <font>
        <color rgb="FF004D86"/>
        <family val="2"/>
      </font>
      <fill>
        <patternFill patternType="solid">
          <fgColor indexed="64"/>
          <bgColor theme="4" tint="0.59999389629810485"/>
        </patternFill>
      </fill>
    </dxf>
    <dxf>
      <numFmt numFmtId="30" formatCode="@"/>
    </dxf>
    <dxf>
      <font>
        <color rgb="FF004D86"/>
        <family val="2"/>
      </font>
      <fill>
        <patternFill patternType="solid">
          <fgColor indexed="64"/>
          <bgColor theme="4" tint="0.5999938962981048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rgb="FF004D86"/>
        <name val="Calibri"/>
        <family val="2"/>
        <scheme val="minor"/>
      </font>
      <fill>
        <patternFill patternType="solid">
          <fgColor indexed="64"/>
          <bgColor theme="4" tint="0.5999938962981048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rgb="FF004D86"/>
        <name val="Calibri"/>
        <family val="2"/>
        <scheme val="minor"/>
      </font>
      <fill>
        <patternFill patternType="solid">
          <fgColor indexed="64"/>
          <bgColor theme="4" tint="0.5999938962981048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rgb="FF004D86"/>
        <name val="Calibri"/>
        <family val="2"/>
        <scheme val="minor"/>
      </font>
      <fill>
        <patternFill patternType="solid">
          <fgColor indexed="64"/>
          <bgColor theme="4" tint="0.5999938962981048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rgb="FF004D86"/>
        <name val="Calibri"/>
        <family val="2"/>
        <scheme val="minor"/>
      </font>
      <fill>
        <patternFill patternType="solid">
          <fgColor indexed="64"/>
          <bgColor theme="4" tint="0.5999938962981048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rgb="FF004D86"/>
        <name val="Calibri"/>
        <family val="2"/>
        <scheme val="minor"/>
      </font>
      <fill>
        <patternFill patternType="solid">
          <fgColor indexed="64"/>
          <bgColor theme="4" tint="0.5999938962981048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rgb="FF004D86"/>
        <name val="Calibri"/>
        <family val="2"/>
        <scheme val="minor"/>
      </font>
      <fill>
        <patternFill patternType="solid">
          <fgColor indexed="64"/>
          <bgColor theme="4" tint="0.59999389629810485"/>
        </patternFill>
      </fill>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rgb="FF004D86"/>
        <name val="Calibri"/>
        <family val="2"/>
        <scheme val="minor"/>
      </font>
      <fill>
        <patternFill patternType="solid">
          <fgColor indexed="64"/>
          <bgColor theme="4" tint="0.59999389629810485"/>
        </patternFill>
      </fill>
    </dxf>
    <dxf>
      <fill>
        <patternFill patternType="none">
          <fgColor indexed="64"/>
          <bgColor auto="1"/>
        </patternFill>
      </fill>
    </dxf>
    <dxf>
      <border diagonalUp="0" diagonalDown="0">
        <left style="thin">
          <color rgb="FF0070C0"/>
        </left>
        <right style="thin">
          <color rgb="FF0070C0"/>
        </right>
        <top style="thin">
          <color rgb="FF0070C0"/>
        </top>
        <bottom style="thin">
          <color rgb="FF0070C0"/>
        </bottom>
      </border>
    </dxf>
    <dxf>
      <fill>
        <patternFill patternType="none">
          <fgColor indexed="64"/>
          <bgColor auto="1"/>
        </patternFill>
      </fill>
    </dxf>
    <dxf>
      <font>
        <strike val="0"/>
        <outline val="0"/>
        <shadow val="0"/>
        <u val="none"/>
        <vertAlign val="baseline"/>
        <sz val="11"/>
        <color rgb="FF004D86"/>
        <name val="Calibri"/>
        <family val="2"/>
        <scheme val="minor"/>
      </font>
      <fill>
        <patternFill patternType="solid">
          <fgColor indexed="64"/>
          <bgColor rgb="FFD9E1F2"/>
        </patternFill>
      </fill>
    </dxf>
    <dxf>
      <numFmt numFmtId="0" formatCode="General"/>
      <fill>
        <patternFill patternType="none">
          <fgColor indexed="64"/>
          <bgColor auto="1"/>
        </patternFill>
      </fill>
      <alignment horizontal="center" vertical="bottom" textRotation="0" wrapText="0" indent="0" justifyLastLine="0" shrinkToFit="0" readingOrder="0"/>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ont>
        <strike val="0"/>
        <outline val="0"/>
        <shadow val="0"/>
        <u val="none"/>
        <vertAlign val="baseline"/>
        <sz val="11"/>
        <color rgb="FF004D86"/>
        <name val="Calibri"/>
        <family val="2"/>
        <scheme val="minor"/>
      </font>
      <fill>
        <patternFill patternType="solid">
          <fgColor indexed="64"/>
          <bgColor theme="4" tint="0.59999389629810485"/>
        </patternFill>
      </fill>
    </dxf>
    <dxf>
      <font>
        <b val="0"/>
        <i val="0"/>
        <strike val="0"/>
        <condense val="0"/>
        <extend val="0"/>
        <outline val="0"/>
        <shadow val="0"/>
        <u val="none"/>
        <vertAlign val="baseline"/>
        <sz val="10"/>
        <color auto="1"/>
        <name val="Arial"/>
        <family val="2"/>
        <scheme val="none"/>
      </font>
      <numFmt numFmtId="19" formatCode="dd/mm/yyyy"/>
      <fill>
        <patternFill patternType="none">
          <fgColor indexed="64"/>
          <bgColor auto="1"/>
        </patternFill>
      </fill>
      <alignment horizontal="center" vertical="bottom" textRotation="0" wrapText="0" indent="0" justifyLastLine="0" shrinkToFit="0" readingOrder="0"/>
    </dxf>
    <dxf>
      <border diagonalUp="0" diagonalDown="0">
        <left style="thin">
          <color theme="4"/>
        </left>
        <right style="thin">
          <color theme="4"/>
        </right>
        <top style="thin">
          <color theme="4"/>
        </top>
        <bottom style="thin">
          <color theme="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rgb="FF305496"/>
        <name val="Calibri"/>
        <family val="2"/>
        <scheme val="minor"/>
      </font>
      <fill>
        <patternFill patternType="solid">
          <fgColor indexed="64"/>
          <bgColor theme="4" tint="0.59999389629810485"/>
        </patternFill>
      </fill>
    </dxf>
    <dxf>
      <fill>
        <patternFill patternType="none">
          <fgColor indexed="64"/>
          <bgColor auto="1"/>
        </patternFill>
      </fill>
    </dxf>
    <dxf>
      <fill>
        <patternFill patternType="none">
          <fgColor indexed="64"/>
          <bgColor auto="1"/>
        </patternFill>
      </fill>
    </dxf>
    <dxf>
      <border diagonalUp="0" diagonalDown="0">
        <left style="thin">
          <color rgb="FF0070C0"/>
        </left>
        <right style="thin">
          <color rgb="FF0070C0"/>
        </right>
        <top style="thin">
          <color rgb="FF0070C0"/>
        </top>
        <bottom style="thin">
          <color rgb="FF0070C0"/>
        </bottom>
      </border>
    </dxf>
    <dxf>
      <fill>
        <patternFill patternType="none">
          <fgColor indexed="64"/>
          <bgColor auto="1"/>
        </patternFill>
      </fill>
    </dxf>
    <dxf>
      <font>
        <strike val="0"/>
        <outline val="0"/>
        <shadow val="0"/>
        <u val="none"/>
        <vertAlign val="baseline"/>
        <sz val="11"/>
        <color rgb="FF004D86"/>
        <name val="Calibri"/>
        <family val="2"/>
        <scheme val="minor"/>
      </font>
      <fill>
        <patternFill patternType="solid">
          <fgColor indexed="64"/>
          <bgColor theme="4" tint="0.59999389629810485"/>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rgb="FF004D86"/>
        <name val="Calibri"/>
        <family val="2"/>
        <scheme val="minor"/>
      </font>
      <fill>
        <patternFill patternType="solid">
          <fgColor indexed="64"/>
          <bgColor theme="4" tint="0.59999389629810485"/>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rgb="FF004D86"/>
        <name val="Calibri"/>
        <family val="2"/>
        <scheme val="minor"/>
      </font>
      <fill>
        <patternFill patternType="solid">
          <fgColor indexed="64"/>
          <bgColor theme="4" tint="0.59999389629810485"/>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rgb="FF0070C0"/>
        </top>
        <bottom style="thin">
          <color rgb="FF0070C0"/>
        </bottom>
        <vertical/>
        <horizontal style="thin">
          <color rgb="FF0070C0"/>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rgb="FF0070C0"/>
        </top>
        <bottom style="thin">
          <color rgb="FF0070C0"/>
        </bottom>
        <vertical/>
        <horizontal style="thin">
          <color rgb="FF0070C0"/>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rgb="FF0070C0"/>
        </top>
        <bottom style="thin">
          <color rgb="FF0070C0"/>
        </bottom>
        <vertical/>
        <horizontal style="thin">
          <color rgb="FF0070C0"/>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rgb="FF0070C0"/>
        </top>
        <bottom style="thin">
          <color rgb="FF0070C0"/>
        </bottom>
        <vertical/>
        <horizontal style="thin">
          <color rgb="FF0070C0"/>
        </horizontal>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bottom style="thin">
          <color rgb="FF0070C0"/>
        </bottom>
      </border>
    </dxf>
    <dxf>
      <font>
        <b/>
        <i val="0"/>
        <strike val="0"/>
        <condense val="0"/>
        <extend val="0"/>
        <outline val="0"/>
        <shadow val="0"/>
        <u val="none"/>
        <vertAlign val="baseline"/>
        <sz val="11"/>
        <color rgb="FF305496"/>
        <name val="Calibri"/>
        <family val="2"/>
        <scheme val="minor"/>
      </font>
      <fill>
        <patternFill patternType="solid">
          <fgColor indexed="64"/>
          <bgColor rgb="FFB4C6E7"/>
        </patternFill>
      </fill>
      <alignment horizontal="center" vertical="bottom" textRotation="0" wrapText="0" indent="0" justifyLastLine="0" shrinkToFit="0" readingOrder="0"/>
    </dxf>
    <dxf>
      <border diagonalUp="0" diagonalDown="0" outline="0">
        <left style="thin">
          <color rgb="FF0070C0"/>
        </left>
        <right style="thin">
          <color rgb="FF0070C0"/>
        </right>
        <top style="thin">
          <color rgb="FF0070C0"/>
        </top>
        <bottom/>
      </border>
    </dxf>
    <dxf>
      <alignment horizontal="center" vertical="bottom" textRotation="0" wrapText="0" indent="0" justifyLastLine="0" shrinkToFit="0" readingOrder="0"/>
      <border diagonalUp="0" diagonalDown="0">
        <left/>
        <right style="thin">
          <color rgb="FF0070C0"/>
        </right>
        <top style="thin">
          <color rgb="FF0070C0"/>
        </top>
        <bottom style="thin">
          <color rgb="FF0070C0"/>
        </bottom>
        <vertical style="thin">
          <color rgb="FF0070C0"/>
        </vertical>
        <horizontal style="thin">
          <color rgb="FF0070C0"/>
        </horizontal>
      </border>
    </dxf>
    <dxf>
      <border diagonalUp="0" diagonalDown="0" outline="0">
        <left style="thin">
          <color rgb="FF0070C0"/>
        </left>
        <right style="thin">
          <color rgb="FF0070C0"/>
        </right>
        <top style="thin">
          <color rgb="FF0070C0"/>
        </top>
        <bottom/>
      </border>
    </dxf>
    <dxf>
      <alignment horizontal="center" vertical="bottom" textRotation="0" wrapText="0" indent="0" justifyLastLine="0" shrinkToFit="0" readingOrder="0"/>
      <border diagonalUp="0" diagonalDown="0">
        <left/>
        <right style="thin">
          <color rgb="FF0070C0"/>
        </right>
        <top style="thin">
          <color rgb="FF0070C0"/>
        </top>
        <bottom style="thin">
          <color rgb="FF0070C0"/>
        </bottom>
        <vertical style="thin">
          <color rgb="FF0070C0"/>
        </vertical>
        <horizontal style="thin">
          <color rgb="FF0070C0"/>
        </horizontal>
      </border>
    </dxf>
    <dxf>
      <alignment horizontal="center" vertical="bottom" textRotation="0" wrapText="0" indent="0" justifyLastLine="0" shrinkToFit="0" readingOrder="0"/>
      <border diagonalUp="0" diagonalDown="0" outline="0">
        <left style="thin">
          <color rgb="FF0070C0"/>
        </left>
        <right style="thin">
          <color rgb="FF0070C0"/>
        </right>
        <top style="thin">
          <color rgb="FF0070C0"/>
        </top>
        <bottom/>
      </border>
    </dxf>
    <dxf>
      <alignment horizontal="center" vertical="bottom" textRotation="0" wrapText="0" indent="0" justifyLastLine="0" shrinkToFit="0" readingOrder="0"/>
      <border diagonalUp="0" diagonalDown="0">
        <left/>
        <right style="thin">
          <color rgb="FF0070C0"/>
        </right>
        <top style="thin">
          <color rgb="FF0070C0"/>
        </top>
        <bottom style="thin">
          <color rgb="FF0070C0"/>
        </bottom>
        <vertical style="thin">
          <color rgb="FF0070C0"/>
        </vertical>
        <horizontal style="thin">
          <color rgb="FF0070C0"/>
        </horizontal>
      </border>
    </dxf>
    <dxf>
      <alignment horizontal="center" vertical="bottom" textRotation="0" wrapText="0" indent="0" justifyLastLine="0" shrinkToFit="0" readingOrder="0"/>
      <border diagonalUp="0" diagonalDown="0" outline="0">
        <left/>
        <right style="thin">
          <color rgb="FF0070C0"/>
        </right>
        <top style="thin">
          <color rgb="FF0070C0"/>
        </top>
        <bottom/>
      </border>
    </dxf>
    <dxf>
      <alignment horizontal="center" vertical="bottom" textRotation="0" wrapText="0" indent="0" justifyLastLine="0" shrinkToFit="0" readingOrder="0"/>
      <border diagonalUp="0" diagonalDown="0">
        <left/>
        <right style="thin">
          <color rgb="FF0070C0"/>
        </right>
        <top style="thin">
          <color rgb="FF0070C0"/>
        </top>
        <bottom style="thin">
          <color rgb="FF0070C0"/>
        </bottom>
        <vertical style="thin">
          <color rgb="FF0070C0"/>
        </vertical>
        <horizontal style="thin">
          <color rgb="FF0070C0"/>
        </horizontal>
      </border>
    </dxf>
    <dxf>
      <border>
        <top style="thin">
          <color rgb="FF0070C0"/>
        </top>
      </border>
    </dxf>
    <dxf>
      <border diagonalUp="0" diagonalDown="0">
        <left style="thin">
          <color rgb="FF0070C0"/>
        </left>
        <right style="thin">
          <color rgb="FF0070C0"/>
        </right>
        <top/>
        <bottom/>
        <vertical style="thin">
          <color rgb="FF0070C0"/>
        </vertical>
        <horizontal style="thin">
          <color rgb="FF0070C0"/>
        </horizontal>
      </border>
    </dxf>
    <dxf>
      <border diagonalUp="0" diagonalDown="0">
        <left style="thin">
          <color rgb="FF0070C0"/>
        </left>
        <right style="thin">
          <color rgb="FF0070C0"/>
        </right>
        <top style="thin">
          <color rgb="FF0070C0"/>
        </top>
        <bottom style="thin">
          <color rgb="FF0070C0"/>
        </bottom>
      </border>
    </dxf>
    <dxf>
      <alignment horizontal="center" vertical="bottom" textRotation="0" wrapText="0" indent="0" justifyLastLine="0" shrinkToFit="0" readingOrder="0"/>
    </dxf>
    <dxf>
      <border>
        <bottom style="thin">
          <color rgb="FF0070C0"/>
        </bottom>
      </border>
    </dxf>
    <dxf>
      <font>
        <b/>
        <strike val="0"/>
        <outline val="0"/>
        <shadow val="0"/>
        <u val="none"/>
        <vertAlign val="baseline"/>
        <sz val="11"/>
        <color rgb="FF004D86"/>
        <name val="Calibri"/>
        <family val="2"/>
        <scheme val="minor"/>
      </font>
      <fill>
        <patternFill patternType="solid">
          <fgColor indexed="64"/>
          <bgColor rgb="FFB4C6E7"/>
        </patternFill>
      </fill>
      <alignment horizontal="center" vertical="bottom" textRotation="0" wrapText="0" indent="0" justifyLastLine="0" shrinkToFit="0" readingOrder="0"/>
      <border diagonalUp="0" diagonalDown="0">
        <left style="thin">
          <color rgb="FF0070C0"/>
        </left>
        <right style="thin">
          <color rgb="FF0070C0"/>
        </right>
        <top/>
        <bottom/>
        <vertical style="thin">
          <color rgb="FF0070C0"/>
        </vertical>
        <horizontal style="thin">
          <color rgb="FF0070C0"/>
        </horizontal>
      </border>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border diagonalUp="0" diagonalDown="0" outline="0">
        <left/>
        <right/>
        <top style="thin">
          <color rgb="FF0070C0"/>
        </top>
        <bottom/>
      </border>
    </dxf>
    <dxf>
      <font>
        <strike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border diagonalUp="0" diagonalDown="0">
        <left/>
        <right/>
        <top style="thin">
          <color rgb="FF0070C0"/>
        </top>
        <bottom style="thin">
          <color rgb="FF0070C0"/>
        </bottom>
      </border>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border diagonalUp="0" diagonalDown="0" outline="0">
        <left/>
        <right/>
        <top style="thin">
          <color rgb="FF0070C0"/>
        </top>
        <bottom/>
      </border>
    </dxf>
    <dxf>
      <font>
        <strike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border diagonalUp="0" diagonalDown="0">
        <left/>
        <right/>
        <top style="thin">
          <color rgb="FF0070C0"/>
        </top>
        <bottom style="thin">
          <color rgb="FF0070C0"/>
        </bottom>
      </border>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border diagonalUp="0" diagonalDown="0" outline="0">
        <left/>
        <right/>
        <top style="thin">
          <color rgb="FF0070C0"/>
        </top>
        <bottom/>
      </border>
    </dxf>
    <dxf>
      <font>
        <strike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border diagonalUp="0" diagonalDown="0">
        <left/>
        <right/>
        <top style="thin">
          <color rgb="FF0070C0"/>
        </top>
        <bottom style="thin">
          <color rgb="FF0070C0"/>
        </bottom>
      </border>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border diagonalUp="0" diagonalDown="0" outline="0">
        <left/>
        <right/>
        <top style="thin">
          <color rgb="FF0070C0"/>
        </top>
        <bottom/>
      </border>
    </dxf>
    <dxf>
      <font>
        <strike val="0"/>
        <outline val="0"/>
        <shadow val="0"/>
        <u val="none"/>
        <vertAlign val="baseline"/>
        <sz val="11"/>
        <color auto="1"/>
        <name val="Calibri"/>
        <family val="2"/>
        <scheme val="minor"/>
      </font>
      <numFmt numFmtId="0" formatCode="General"/>
      <alignment horizontal="center" vertical="bottom" textRotation="0" wrapText="0" indent="0" justifyLastLine="0" shrinkToFit="0" readingOrder="0"/>
      <border diagonalUp="0" diagonalDown="0">
        <left/>
        <right/>
        <top style="thin">
          <color rgb="FF0070C0"/>
        </top>
        <bottom style="thin">
          <color rgb="FF0070C0"/>
        </bottom>
      </border>
    </dxf>
    <dxf>
      <border>
        <top style="thin">
          <color rgb="FF0070C0"/>
        </top>
      </border>
    </dxf>
    <dxf>
      <border diagonalUp="0" diagonalDown="0">
        <left style="thin">
          <color rgb="FF0070C0"/>
        </left>
        <right style="thin">
          <color rgb="FF0070C0"/>
        </right>
        <top style="thin">
          <color rgb="FF0070C0"/>
        </top>
        <bottom style="thin">
          <color rgb="FF0070C0"/>
        </bottom>
      </border>
    </dxf>
    <dxf>
      <font>
        <strike val="0"/>
        <outline val="0"/>
        <shadow val="0"/>
        <u val="none"/>
        <vertAlign val="baseline"/>
        <sz val="11"/>
        <color auto="1"/>
        <name val="Calibri"/>
        <family val="2"/>
        <scheme val="minor"/>
      </font>
      <alignment horizontal="center" vertical="bottom" textRotation="0" wrapText="0" indent="0" justifyLastLine="0" shrinkToFit="0" readingOrder="0"/>
    </dxf>
    <dxf>
      <border>
        <bottom style="thin">
          <color rgb="FF0070C0"/>
        </bottom>
      </border>
    </dxf>
    <dxf>
      <font>
        <strike val="0"/>
        <outline val="0"/>
        <shadow val="0"/>
        <u val="none"/>
        <vertAlign val="baseline"/>
        <sz val="11"/>
        <color rgb="FF004D86"/>
        <name val="Calibri"/>
        <family val="2"/>
        <scheme val="minor"/>
      </font>
      <fill>
        <patternFill patternType="solid">
          <fgColor indexed="64"/>
          <bgColor theme="4" tint="0.59999389629810485"/>
        </patternFill>
      </fill>
      <alignment horizontal="center" vertical="bottom" textRotation="0" wrapText="0" indent="0" justifyLastLine="0" shrinkToFit="0" readingOrder="0"/>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FD966"/>
        </patternFill>
      </fill>
    </dxf>
    <dxf>
      <border>
        <left style="thin">
          <color rgb="FF0070C0"/>
        </left>
        <right style="thin">
          <color rgb="FF0070C0"/>
        </right>
        <bottom style="thin">
          <color rgb="FF0070C0"/>
        </bottom>
        <vertical/>
        <horizontal/>
      </border>
    </dxf>
    <dxf>
      <fill>
        <patternFill patternType="solid">
          <fgColor auto="1"/>
          <bgColor rgb="FFF55F5F"/>
        </patternFill>
      </fill>
    </dxf>
    <dxf>
      <fill>
        <patternFill patternType="solid">
          <fgColor auto="1"/>
          <bgColor rgb="FFFFD966"/>
        </patternFill>
      </fill>
    </dxf>
    <dxf>
      <fill>
        <patternFill patternType="solid">
          <fgColor auto="1"/>
          <bgColor rgb="FFF55F5F"/>
        </patternFill>
      </fill>
    </dxf>
    <dxf>
      <fill>
        <patternFill patternType="solid">
          <fgColor auto="1"/>
          <bgColor rgb="FFFFD966"/>
        </patternFill>
      </fill>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ont>
        <color rgb="FFC00000"/>
      </font>
      <border>
        <bottom style="thin">
          <color rgb="FFFF0000"/>
        </bottom>
        <vertical/>
        <horizontal/>
      </border>
    </dxf>
    <dxf>
      <font>
        <color rgb="FFC00000"/>
      </font>
      <border>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border>
        <left style="thin">
          <color rgb="FF305496"/>
        </left>
        <right style="thin">
          <color rgb="FF305496"/>
        </right>
        <top style="thin">
          <color rgb="FF305496"/>
        </top>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border>
        <left style="thin">
          <color rgb="FF0070C0"/>
        </left>
        <right style="thin">
          <color rgb="FF0070C0"/>
        </right>
        <bottom/>
        <vertical/>
        <horizontal/>
      </border>
    </dxf>
    <dxf>
      <fill>
        <patternFill>
          <bgColor rgb="FF9AC7F0"/>
        </patternFill>
      </fill>
      <border>
        <left style="thin">
          <color rgb="FF0070C0"/>
        </left>
        <right style="thin">
          <color rgb="FF0070C0"/>
        </right>
        <bottom style="thin">
          <color rgb="FF0070C0"/>
        </bottom>
      </border>
    </dxf>
    <dxf>
      <fill>
        <patternFill>
          <bgColor rgb="FF9AC7F0"/>
        </patternFill>
      </fill>
    </dxf>
    <dxf>
      <border>
        <left style="thin">
          <color rgb="FF0070C0"/>
        </left>
        <right style="thin">
          <color rgb="FF0070C0"/>
        </right>
        <bottom style="thin">
          <color rgb="FF0070C0"/>
        </bottom>
        <vertical/>
        <horizontal/>
      </border>
    </dxf>
    <dxf>
      <border>
        <left style="thin">
          <color rgb="FF0070C0"/>
        </left>
        <right style="thin">
          <color rgb="FF0070C0"/>
        </right>
        <bottom style="thin">
          <color rgb="FF0070C0"/>
        </bottom>
        <vertical/>
        <horizontal/>
      </border>
    </dxf>
    <dxf>
      <border>
        <left style="thin">
          <color rgb="FF0070C0"/>
        </left>
        <right style="thin">
          <color rgb="FF0070C0"/>
        </right>
        <bottom style="thin">
          <color rgb="FF0070C0"/>
        </bottom>
        <vertical/>
        <horizontal/>
      </border>
    </dxf>
    <dxf>
      <border>
        <left style="thin">
          <color rgb="FF305496"/>
        </left>
        <right style="thin">
          <color rgb="FF305496"/>
        </right>
        <top style="thin">
          <color rgb="FF305496"/>
        </top>
        <vertical/>
        <horizontal/>
      </border>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border>
        <left style="thin">
          <color rgb="FF305496"/>
        </left>
        <right style="thin">
          <color rgb="FF305496"/>
        </right>
        <top style="thin">
          <color rgb="FF305496"/>
        </top>
      </border>
    </dxf>
    <dxf>
      <border>
        <left style="thin">
          <color rgb="FF305496"/>
        </left>
        <right style="thin">
          <color rgb="FF305496"/>
        </right>
        <top style="thin">
          <color rgb="FF305496"/>
        </top>
        <vertical/>
        <horizontal/>
      </border>
    </dxf>
    <dxf>
      <border>
        <left style="thin">
          <color rgb="FF305496"/>
        </left>
        <right style="thin">
          <color rgb="FF305496"/>
        </right>
        <top style="thin">
          <color rgb="FF305496"/>
        </top>
        <vertical/>
        <horizontal/>
      </border>
    </dxf>
    <dxf>
      <fill>
        <patternFill>
          <bgColor rgb="FF9AC7F0"/>
        </patternFill>
      </fill>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border>
        <left style="thin">
          <color rgb="FF305496"/>
        </left>
        <right style="thin">
          <color rgb="FF305496"/>
        </right>
        <top style="thin">
          <color rgb="FF305496"/>
        </top>
        <vertical/>
        <horizontal/>
      </border>
    </dxf>
    <dxf>
      <border>
        <left style="thin">
          <color rgb="FF305496"/>
        </left>
        <right style="thin">
          <color rgb="FF305496"/>
        </right>
        <top style="thin">
          <color rgb="FF305496"/>
        </top>
        <vertical/>
        <horizontal/>
      </border>
    </dxf>
    <dxf>
      <fill>
        <patternFill>
          <bgColor rgb="FF9AC7F0"/>
        </patternFill>
      </fill>
    </dxf>
    <dxf>
      <fill>
        <patternFill>
          <bgColor rgb="FF9AC7F0"/>
        </patternFill>
      </fill>
      <border>
        <left style="thin">
          <color rgb="FF305496"/>
        </left>
        <right style="thin">
          <color rgb="FF305496"/>
        </right>
        <top style="thin">
          <color rgb="FF305496"/>
        </top>
      </border>
    </dxf>
    <dxf>
      <border>
        <right style="thin">
          <color rgb="FFFF0000"/>
        </right>
        <top style="thin">
          <color rgb="FFFF0000"/>
        </top>
        <bottom style="thin">
          <color rgb="FFFF0000"/>
        </bottom>
        <vertical/>
        <horizontal/>
      </border>
    </dxf>
    <dxf>
      <border>
        <left style="thin">
          <color rgb="FFFF0000"/>
        </left>
        <top style="thin">
          <color rgb="FFFF0000"/>
        </top>
        <bottom style="thin">
          <color rgb="FFFF0000"/>
        </bottom>
        <vertical/>
        <horizontal/>
      </border>
    </dxf>
    <dxf>
      <fill>
        <patternFill patternType="solid">
          <fgColor auto="1"/>
          <bgColor rgb="FF92D050"/>
        </patternFill>
      </fill>
    </dxf>
    <dxf>
      <fill>
        <patternFill patternType="solid">
          <fgColor auto="1"/>
          <bgColor rgb="FFFFD966"/>
        </patternFill>
      </fill>
    </dxf>
    <dxf>
      <fill>
        <patternFill patternType="none">
          <bgColor auto="1"/>
        </patternFill>
      </fill>
    </dxf>
    <dxf>
      <fill>
        <patternFill patternType="solid">
          <fgColor auto="1"/>
          <bgColor rgb="FF92D050"/>
        </patternFill>
      </fill>
    </dxf>
    <dxf>
      <fill>
        <patternFill patternType="solid">
          <fgColor auto="1"/>
          <bgColor rgb="FFFFD966"/>
        </patternFill>
      </fill>
    </dxf>
    <dxf>
      <fill>
        <patternFill patternType="none">
          <bgColor auto="1"/>
        </patternFill>
      </fill>
    </dxf>
    <dxf>
      <fill>
        <patternFill patternType="solid">
          <fgColor auto="1"/>
          <bgColor rgb="FF92D050"/>
        </patternFill>
      </fill>
    </dxf>
    <dxf>
      <fill>
        <patternFill patternType="solid">
          <fgColor auto="1"/>
          <bgColor rgb="FFFFD966"/>
        </patternFill>
      </fill>
    </dxf>
    <dxf>
      <fill>
        <patternFill patternType="none">
          <bgColor auto="1"/>
        </patternFill>
      </fill>
    </dxf>
    <dxf>
      <fill>
        <patternFill patternType="solid">
          <fgColor auto="1"/>
          <bgColor rgb="FFF55F5F"/>
        </patternFill>
      </fill>
    </dxf>
    <dxf>
      <fill>
        <patternFill patternType="solid">
          <fgColor auto="1"/>
          <bgColor rgb="FFFFD966"/>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font>
        <b/>
        <i val="0"/>
        <color auto="1"/>
      </font>
    </dxf>
    <dxf>
      <font>
        <color rgb="FF9C6500"/>
      </font>
      <fill>
        <patternFill>
          <bgColor rgb="FFFFEB9C"/>
        </patternFill>
      </fill>
      <border>
        <vertical/>
        <horizontal/>
      </border>
    </dxf>
    <dxf>
      <font>
        <color rgb="FF9C0006"/>
      </font>
      <fill>
        <patternFill>
          <bgColor rgb="FFF69382"/>
        </patternFill>
      </fill>
    </dxf>
    <dxf>
      <fill>
        <patternFill patternType="solid">
          <fgColor auto="1"/>
          <bgColor rgb="FF92D050"/>
        </patternFill>
      </fill>
    </dxf>
    <dxf>
      <fill>
        <patternFill patternType="solid">
          <fgColor auto="1"/>
          <bgColor rgb="FFFFD966"/>
        </patternFill>
      </fill>
    </dxf>
    <dxf>
      <fill>
        <patternFill patternType="none">
          <bgColor auto="1"/>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C00000"/>
      </font>
      <fill>
        <patternFill>
          <bgColor rgb="FFFFCCCC"/>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FD966"/>
        </patternFill>
      </fill>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ont>
        <color rgb="FFC00000"/>
      </font>
      <border>
        <bottom style="thin">
          <color rgb="FFFF0000"/>
        </bottom>
        <vertical/>
        <horizontal/>
      </border>
    </dxf>
    <dxf>
      <fill>
        <patternFill>
          <bgColor rgb="FF9AC7F0"/>
        </patternFill>
      </fill>
    </dxf>
    <dxf>
      <border>
        <left style="thin">
          <color rgb="FF0070C0"/>
        </left>
        <right style="thin">
          <color rgb="FF0070C0"/>
        </right>
        <bottom style="thin">
          <color rgb="FF0070C0"/>
        </bottom>
        <vertical/>
        <horizontal/>
      </border>
    </dxf>
    <dxf>
      <border>
        <left style="thin">
          <color rgb="FF0070C0"/>
        </left>
        <right style="thin">
          <color rgb="FF0070C0"/>
        </right>
        <bottom/>
        <vertical/>
        <horizontal/>
      </border>
    </dxf>
    <dxf>
      <fill>
        <patternFill>
          <bgColor rgb="FF9AC7F0"/>
        </patternFill>
      </fill>
      <border>
        <left style="thin">
          <color rgb="FF0070C0"/>
        </left>
        <right style="thin">
          <color rgb="FF0070C0"/>
        </right>
        <bottom style="thin">
          <color rgb="FF0070C0"/>
        </bottom>
      </border>
    </dxf>
    <dxf>
      <border>
        <left style="thin">
          <color rgb="FF0070C0"/>
        </left>
        <right style="thin">
          <color rgb="FF0070C0"/>
        </right>
        <bottom style="thin">
          <color rgb="FF0070C0"/>
        </bottom>
        <vertical/>
        <horizontal/>
      </border>
    </dxf>
    <dxf>
      <border>
        <left style="thin">
          <color rgb="FF0070C0"/>
        </left>
        <right style="thin">
          <color rgb="FF0070C0"/>
        </right>
        <bottom style="thin">
          <color rgb="FF0070C0"/>
        </bottom>
        <vertical/>
        <horizontal/>
      </border>
    </dxf>
    <dxf>
      <border>
        <left style="thin">
          <color rgb="FF0070C0"/>
        </left>
        <right style="thin">
          <color rgb="FF0070C0"/>
        </right>
        <bottom style="thin">
          <color rgb="FF0070C0"/>
        </bottom>
        <vertical/>
        <horizontal/>
      </border>
    </dxf>
    <dxf>
      <border>
        <right style="thin">
          <color rgb="FFFF0000"/>
        </right>
        <top style="thin">
          <color rgb="FFFF0000"/>
        </top>
        <bottom style="thin">
          <color rgb="FFFF0000"/>
        </bottom>
        <vertical/>
        <horizontal/>
      </border>
    </dxf>
    <dxf>
      <border>
        <left style="thin">
          <color rgb="FFFF0000"/>
        </left>
        <top style="thin">
          <color rgb="FFFF0000"/>
        </top>
        <bottom style="thin">
          <color rgb="FFFF0000"/>
        </bottom>
        <vertical/>
        <horizontal/>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FD966"/>
        </patternFill>
      </fill>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border>
        <left style="thin">
          <color rgb="FF305496"/>
        </left>
        <right style="thin">
          <color rgb="FF305496"/>
        </right>
        <top style="thin">
          <color rgb="FF305496"/>
        </top>
        <vertical/>
        <horizontal/>
      </border>
    </dxf>
    <dxf>
      <fill>
        <patternFill patternType="solid">
          <fgColor auto="1"/>
          <bgColor rgb="FF92D050"/>
        </patternFill>
      </fill>
    </dxf>
    <dxf>
      <fill>
        <patternFill patternType="solid">
          <fgColor auto="1"/>
          <bgColor rgb="FFFFD966"/>
        </patternFill>
      </fill>
    </dxf>
    <dxf>
      <fill>
        <patternFill patternType="none">
          <bgColor auto="1"/>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border>
        <left style="thin">
          <color rgb="FF305496"/>
        </left>
        <right style="thin">
          <color rgb="FF305496"/>
        </right>
        <top style="thin">
          <color rgb="FF305496"/>
        </top>
        <vertical/>
        <horizontal/>
      </border>
    </dxf>
    <dxf>
      <fill>
        <patternFill patternType="solid">
          <fgColor auto="1"/>
          <bgColor rgb="FF92D050"/>
        </patternFill>
      </fill>
    </dxf>
    <dxf>
      <fill>
        <patternFill patternType="solid">
          <fgColor auto="1"/>
          <bgColor rgb="FFFFD966"/>
        </patternFill>
      </fill>
    </dxf>
    <dxf>
      <fill>
        <patternFill patternType="none">
          <bgColor auto="1"/>
        </patternFill>
      </fill>
    </dxf>
    <dxf>
      <border>
        <left style="thin">
          <color rgb="FFFF0000"/>
        </left>
        <right style="thin">
          <color rgb="FFFF0000"/>
        </right>
        <top style="thin">
          <color rgb="FFFF0000"/>
        </top>
        <bottom style="thin">
          <color rgb="FFFF0000"/>
        </bottom>
        <vertical/>
        <horizontal/>
      </border>
    </dxf>
    <dxf>
      <border>
        <left style="thin">
          <color rgb="FF305496"/>
        </left>
        <right style="thin">
          <color rgb="FF305496"/>
        </right>
        <top style="thin">
          <color rgb="FF305496"/>
        </top>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border>
        <left style="thin">
          <color rgb="FF305496"/>
        </left>
        <right style="thin">
          <color rgb="FF305496"/>
        </right>
        <top style="thin">
          <color rgb="FF305496"/>
        </top>
        <vertical/>
        <horizontal/>
      </border>
    </dxf>
    <dxf>
      <fill>
        <patternFill patternType="solid">
          <fgColor auto="1"/>
          <bgColor rgb="FF92D050"/>
        </patternFill>
      </fill>
    </dxf>
    <dxf>
      <fill>
        <patternFill patternType="solid">
          <fgColor auto="1"/>
          <bgColor rgb="FFFFD966"/>
        </patternFill>
      </fill>
    </dxf>
    <dxf>
      <fill>
        <patternFill patternType="none">
          <bgColor auto="1"/>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ont>
        <color rgb="FFC00000"/>
      </font>
      <border>
        <bottom style="thin">
          <color rgb="FFFF0000"/>
        </bottom>
        <vertical/>
        <horizontal/>
      </border>
    </dxf>
    <dxf>
      <fill>
        <patternFill>
          <bgColor rgb="FF9AC7F0"/>
        </patternFill>
      </fill>
    </dxf>
    <dxf>
      <border>
        <left style="thin">
          <color rgb="FF0070C0"/>
        </left>
        <right style="thin">
          <color rgb="FF0070C0"/>
        </right>
        <bottom style="thin">
          <color rgb="FF0070C0"/>
        </bottom>
        <vertical/>
        <horizontal/>
      </border>
    </dxf>
    <dxf>
      <border>
        <left style="thin">
          <color rgb="FF0070C0"/>
        </left>
        <right style="thin">
          <color rgb="FF0070C0"/>
        </right>
        <bottom/>
        <vertical/>
        <horizontal/>
      </border>
    </dxf>
    <dxf>
      <fill>
        <patternFill>
          <bgColor rgb="FF9AC7F0"/>
        </patternFill>
      </fill>
      <border>
        <left style="thin">
          <color rgb="FF0070C0"/>
        </left>
        <right style="thin">
          <color rgb="FF0070C0"/>
        </right>
        <bottom style="thin">
          <color rgb="FF0070C0"/>
        </bottom>
      </border>
    </dxf>
    <dxf>
      <border>
        <left style="thin">
          <color rgb="FF0070C0"/>
        </left>
        <right style="thin">
          <color rgb="FF0070C0"/>
        </right>
        <bottom style="thin">
          <color rgb="FF0070C0"/>
        </bottom>
        <vertical/>
        <horizontal/>
      </border>
    </dxf>
    <dxf>
      <border>
        <left style="thin">
          <color rgb="FF0070C0"/>
        </left>
        <right style="thin">
          <color rgb="FF0070C0"/>
        </right>
        <bottom style="thin">
          <color rgb="FF0070C0"/>
        </bottom>
        <vertical/>
        <horizontal/>
      </border>
    </dxf>
    <dxf>
      <border>
        <left style="thin">
          <color rgb="FF0070C0"/>
        </left>
        <right style="thin">
          <color rgb="FF0070C0"/>
        </right>
        <bottom style="thin">
          <color rgb="FF0070C0"/>
        </bottom>
        <vertical/>
        <horizontal/>
      </border>
    </dxf>
    <dxf>
      <border>
        <right style="thin">
          <color rgb="FFFF0000"/>
        </right>
        <top style="thin">
          <color rgb="FFFF0000"/>
        </top>
        <bottom style="thin">
          <color rgb="FFFF0000"/>
        </bottom>
        <vertical/>
        <horizontal/>
      </border>
    </dxf>
    <dxf>
      <border>
        <left style="thin">
          <color rgb="FFFF0000"/>
        </left>
        <top style="thin">
          <color rgb="FFFF0000"/>
        </top>
        <bottom style="thin">
          <color rgb="FFFF0000"/>
        </bottom>
        <vertical/>
        <horizontal/>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FD966"/>
        </patternFill>
      </fill>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ont>
        <color rgb="FFC00000"/>
      </font>
      <border>
        <bottom style="thin">
          <color rgb="FFFF0000"/>
        </bottom>
        <vertical/>
        <horizontal/>
      </border>
    </dxf>
    <dxf>
      <fill>
        <patternFill>
          <bgColor rgb="FF9AC7F0"/>
        </patternFill>
      </fill>
    </dxf>
    <dxf>
      <border>
        <left style="thin">
          <color rgb="FF0070C0"/>
        </left>
        <right style="thin">
          <color rgb="FF0070C0"/>
        </right>
        <bottom style="thin">
          <color rgb="FF0070C0"/>
        </bottom>
        <vertical/>
        <horizontal/>
      </border>
    </dxf>
    <dxf>
      <border>
        <left style="thin">
          <color rgb="FF0070C0"/>
        </left>
        <right style="thin">
          <color rgb="FF0070C0"/>
        </right>
        <bottom/>
        <vertical/>
        <horizontal/>
      </border>
    </dxf>
    <dxf>
      <fill>
        <patternFill>
          <bgColor rgb="FF9AC7F0"/>
        </patternFill>
      </fill>
      <border>
        <left style="thin">
          <color rgb="FF0070C0"/>
        </left>
        <right style="thin">
          <color rgb="FF0070C0"/>
        </right>
        <bottom style="thin">
          <color rgb="FF0070C0"/>
        </bottom>
      </border>
    </dxf>
    <dxf>
      <border>
        <left style="thin">
          <color rgb="FF0070C0"/>
        </left>
        <right style="thin">
          <color rgb="FF0070C0"/>
        </right>
        <bottom style="thin">
          <color rgb="FF0070C0"/>
        </bottom>
        <vertical/>
        <horizontal/>
      </border>
    </dxf>
    <dxf>
      <border>
        <left style="thin">
          <color rgb="FF0070C0"/>
        </left>
        <right style="thin">
          <color rgb="FF0070C0"/>
        </right>
        <bottom style="thin">
          <color rgb="FF0070C0"/>
        </bottom>
        <vertical/>
        <horizontal/>
      </border>
    </dxf>
    <dxf>
      <border>
        <left style="thin">
          <color rgb="FF0070C0"/>
        </left>
        <right style="thin">
          <color rgb="FF0070C0"/>
        </right>
        <bottom style="thin">
          <color rgb="FF0070C0"/>
        </bottom>
        <vertical/>
        <horizontal/>
      </border>
    </dxf>
    <dxf>
      <border>
        <right style="thin">
          <color rgb="FFFF0000"/>
        </right>
        <top style="thin">
          <color rgb="FFFF0000"/>
        </top>
        <bottom style="thin">
          <color rgb="FFFF0000"/>
        </bottom>
        <vertical/>
        <horizontal/>
      </border>
    </dxf>
    <dxf>
      <border>
        <left style="thin">
          <color rgb="FFFF0000"/>
        </left>
        <top style="thin">
          <color rgb="FFFF0000"/>
        </top>
        <bottom style="thin">
          <color rgb="FFFF0000"/>
        </bottom>
        <vertical/>
        <horizontal/>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ont>
        <color rgb="FF000000"/>
      </font>
      <fill>
        <patternFill>
          <bgColor rgb="FFF55F5F"/>
        </patternFill>
      </fill>
    </dxf>
    <dxf>
      <font>
        <color rgb="FF000000"/>
      </font>
      <fill>
        <patternFill>
          <bgColor rgb="FFFFD966"/>
        </patternFill>
      </fill>
    </dxf>
    <dxf>
      <font>
        <color rgb="FF000000"/>
      </font>
      <fill>
        <patternFill>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55F5F"/>
        </patternFill>
      </fill>
    </dxf>
    <dxf>
      <fill>
        <patternFill patternType="solid">
          <fgColor auto="1"/>
          <bgColor rgb="FFFFD966"/>
        </patternFill>
      </fill>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border>
        <left style="thin">
          <color rgb="FF305496"/>
        </left>
        <right style="thin">
          <color rgb="FF305496"/>
        </right>
        <top style="thin">
          <color rgb="FF305496"/>
        </top>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border>
        <left style="thin">
          <color rgb="FF305496"/>
        </left>
        <right style="thin">
          <color rgb="FF305496"/>
        </right>
        <top style="thin">
          <color rgb="FF305496"/>
        </top>
        <vertical/>
        <horizontal/>
      </border>
    </dxf>
    <dxf>
      <fill>
        <patternFill patternType="solid">
          <fgColor auto="1"/>
          <bgColor rgb="FF92D050"/>
        </patternFill>
      </fill>
    </dxf>
    <dxf>
      <fill>
        <patternFill patternType="solid">
          <fgColor auto="1"/>
          <bgColor rgb="FFFFD966"/>
        </patternFill>
      </fill>
    </dxf>
    <dxf>
      <fill>
        <patternFill patternType="none">
          <bgColor auto="1"/>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AC7F0"/>
        </patternFill>
      </fill>
    </dxf>
    <dxf>
      <border>
        <left style="thin">
          <color rgb="FF305496"/>
        </left>
        <right style="thin">
          <color rgb="FF305496"/>
        </right>
        <top style="thin">
          <color rgb="FF305496"/>
        </top>
        <vertical/>
        <horizontal/>
      </border>
    </dxf>
    <dxf>
      <font>
        <color rgb="FFC00000"/>
      </font>
      <border>
        <bottom style="thin">
          <color rgb="FFFF0000"/>
        </bottom>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border>
        <left style="thin">
          <color rgb="FF305496"/>
        </left>
        <right style="thin">
          <color rgb="FF305496"/>
        </right>
        <top style="thin">
          <color rgb="FF305496"/>
        </top>
        <vertical/>
        <horizontal/>
      </border>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ill>
        <patternFill>
          <bgColor rgb="FF92D050"/>
        </patternFill>
      </fill>
    </dxf>
    <dxf>
      <border>
        <left style="thin">
          <color rgb="FFFF0000"/>
        </left>
        <right style="thin">
          <color rgb="FFFF0000"/>
        </right>
        <top style="thin">
          <color rgb="FFFF0000"/>
        </top>
        <bottom style="thin">
          <color rgb="FFFF0000"/>
        </bottom>
        <vertical/>
        <horizontal/>
      </border>
    </dxf>
    <dxf>
      <border>
        <left style="thin">
          <color rgb="FF305496"/>
        </left>
        <right style="thin">
          <color rgb="FF305496"/>
        </right>
        <top style="thin">
          <color rgb="FF305496"/>
        </top>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border>
        <left style="thin">
          <color rgb="FF305496"/>
        </left>
        <right style="thin">
          <color rgb="FF305496"/>
        </right>
        <top style="thin">
          <color rgb="FF305496"/>
        </top>
        <vertical/>
        <horizontal/>
      </border>
    </dxf>
    <dxf>
      <fill>
        <patternFill>
          <bgColor rgb="FF9AC7F0"/>
        </patternFill>
      </fill>
      <border>
        <left style="thin">
          <color rgb="FF305496"/>
        </left>
        <right style="thin">
          <color rgb="FF305496"/>
        </right>
        <top style="thin">
          <color rgb="FF305496"/>
        </top>
      </border>
    </dxf>
    <dxf>
      <border>
        <left style="thin">
          <color rgb="FF305496"/>
        </left>
        <right style="thin">
          <color rgb="FF305496"/>
        </right>
        <top style="thin">
          <color rgb="FF305496"/>
        </top>
        <vertical/>
        <horizontal/>
      </border>
    </dxf>
    <dxf>
      <fill>
        <patternFill patternType="solid">
          <fgColor auto="1"/>
          <bgColor rgb="FF92D050"/>
        </patternFill>
      </fill>
    </dxf>
    <dxf>
      <fill>
        <patternFill patternType="solid">
          <fgColor auto="1"/>
          <bgColor rgb="FFFFD966"/>
        </patternFill>
      </fill>
    </dxf>
    <dxf>
      <fill>
        <patternFill patternType="none">
          <bgColor auto="1"/>
        </patternFill>
      </fill>
    </dxf>
    <dxf>
      <border>
        <left style="thin">
          <color rgb="FFFF0000"/>
        </left>
        <right style="thin">
          <color rgb="FFFF0000"/>
        </right>
        <top style="thin">
          <color rgb="FFFF0000"/>
        </top>
        <bottom style="thin">
          <color rgb="FFFF0000"/>
        </bottom>
        <vertical/>
        <horizontal/>
      </border>
    </dxf>
    <dxf>
      <fill>
        <patternFill>
          <bgColor rgb="FF92D050"/>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ont>
        <color rgb="FFC00000"/>
      </font>
      <border>
        <bottom style="thin">
          <color rgb="FFFF0000"/>
        </bottom>
        <vertical/>
        <horizontal/>
      </border>
    </dxf>
    <dxf>
      <fill>
        <patternFill>
          <bgColor rgb="FF9AC7F0"/>
        </patternFill>
      </fill>
    </dxf>
    <dxf>
      <border>
        <left style="thin">
          <color rgb="FF0070C0"/>
        </left>
        <right style="thin">
          <color rgb="FF0070C0"/>
        </right>
        <bottom style="thin">
          <color rgb="FF0070C0"/>
        </bottom>
        <vertical/>
        <horizontal/>
      </border>
    </dxf>
    <dxf>
      <border>
        <left style="thin">
          <color rgb="FF0070C0"/>
        </left>
        <right style="thin">
          <color rgb="FF0070C0"/>
        </right>
        <bottom/>
        <vertical/>
        <horizontal/>
      </border>
    </dxf>
    <dxf>
      <fill>
        <patternFill>
          <bgColor rgb="FF9AC7F0"/>
        </patternFill>
      </fill>
      <border>
        <left style="thin">
          <color rgb="FF0070C0"/>
        </left>
        <right style="thin">
          <color rgb="FF0070C0"/>
        </right>
        <bottom style="thin">
          <color rgb="FF0070C0"/>
        </bottom>
      </border>
    </dxf>
    <dxf>
      <border>
        <left style="thin">
          <color rgb="FF0070C0"/>
        </left>
        <right style="thin">
          <color rgb="FF0070C0"/>
        </right>
        <bottom style="thin">
          <color rgb="FF0070C0"/>
        </bottom>
        <vertical/>
        <horizontal/>
      </border>
    </dxf>
    <dxf>
      <border>
        <left style="thin">
          <color rgb="FF0070C0"/>
        </left>
        <right style="thin">
          <color rgb="FF0070C0"/>
        </right>
        <bottom style="thin">
          <color rgb="FF0070C0"/>
        </bottom>
        <vertical/>
        <horizontal/>
      </border>
    </dxf>
    <dxf>
      <border>
        <left style="thin">
          <color rgb="FF0070C0"/>
        </left>
        <right style="thin">
          <color rgb="FF0070C0"/>
        </right>
        <bottom style="thin">
          <color rgb="FF0070C0"/>
        </bottom>
        <vertical/>
        <horizontal/>
      </border>
    </dxf>
    <dxf>
      <border>
        <right style="thin">
          <color rgb="FFFF0000"/>
        </right>
        <top style="thin">
          <color rgb="FFFF0000"/>
        </top>
        <bottom style="thin">
          <color rgb="FFFF0000"/>
        </bottom>
        <vertical/>
        <horizontal/>
      </border>
    </dxf>
    <dxf>
      <border>
        <left style="thin">
          <color rgb="FFFF0000"/>
        </left>
        <top style="thin">
          <color rgb="FFFF0000"/>
        </top>
        <bottom style="thin">
          <color rgb="FFFF0000"/>
        </bottom>
        <vertical/>
        <horizontal/>
      </border>
    </dxf>
    <dxf>
      <fill>
        <patternFill patternType="solid">
          <fgColor auto="1"/>
          <bgColor rgb="FF92D050"/>
        </patternFill>
      </fill>
    </dxf>
    <dxf>
      <fill>
        <patternFill patternType="solid">
          <fgColor auto="1"/>
          <bgColor rgb="FFFFD966"/>
        </patternFill>
      </fill>
    </dxf>
    <dxf>
      <fill>
        <patternFill patternType="none">
          <bgColor auto="1"/>
        </patternFill>
      </fill>
    </dxf>
    <dxf>
      <font>
        <b/>
        <i val="0"/>
        <color auto="1"/>
      </font>
    </dxf>
    <dxf>
      <font>
        <color rgb="FF9C6500"/>
      </font>
      <fill>
        <patternFill>
          <bgColor rgb="FFFFEB9C"/>
        </patternFill>
      </fill>
      <border>
        <vertical/>
        <horizontal/>
      </border>
    </dxf>
    <dxf>
      <font>
        <color rgb="FF9C0006"/>
      </font>
      <fill>
        <patternFill>
          <bgColor rgb="FFF69382"/>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F55F5F"/>
        </patternFill>
      </fill>
    </dxf>
    <dxf>
      <font>
        <color rgb="FF000000"/>
      </font>
      <fill>
        <patternFill>
          <bgColor rgb="FF92D050"/>
        </patternFill>
      </fill>
    </dxf>
    <dxf>
      <font>
        <color rgb="FF000000"/>
      </font>
      <fill>
        <patternFill>
          <bgColor rgb="FFFFD966"/>
        </patternFill>
      </fill>
    </dxf>
    <dxf>
      <font>
        <color rgb="FF000000"/>
      </font>
      <fill>
        <patternFill>
          <bgColor rgb="FFFFFFFF"/>
        </patternFill>
      </fill>
    </dxf>
    <dxf>
      <font>
        <color rgb="FF000000"/>
      </font>
      <fill>
        <patternFill>
          <bgColor rgb="FF92D050"/>
        </patternFill>
      </fill>
    </dxf>
    <dxf>
      <font>
        <color rgb="FF000000"/>
      </font>
      <fill>
        <patternFill>
          <bgColor rgb="FFFFD966"/>
        </patternFill>
      </fill>
    </dxf>
    <dxf>
      <font>
        <color rgb="FF000000"/>
      </font>
      <fill>
        <patternFill>
          <bgColor rgb="FFFFFFFF"/>
        </patternFill>
      </fill>
    </dxf>
    <dxf>
      <font>
        <color rgb="FF000000"/>
      </font>
      <fill>
        <patternFill>
          <bgColor rgb="FF92D050"/>
        </patternFill>
      </fill>
    </dxf>
    <dxf>
      <font>
        <color rgb="FF000000"/>
      </font>
      <fill>
        <patternFill>
          <bgColor rgb="FFFFD966"/>
        </patternFill>
      </fill>
    </dxf>
    <dxf>
      <font>
        <color rgb="FF000000"/>
      </font>
      <fill>
        <patternFill>
          <bgColor rgb="FFFFFFFF"/>
        </patternFill>
      </fill>
    </dxf>
    <dxf>
      <font>
        <color rgb="FF000000"/>
      </font>
      <fill>
        <patternFill>
          <bgColor rgb="FF92D050"/>
        </patternFill>
      </fill>
    </dxf>
    <dxf>
      <font>
        <color rgb="FF000000"/>
      </font>
      <fill>
        <patternFill>
          <bgColor rgb="FFFFD966"/>
        </patternFill>
      </fill>
    </dxf>
    <dxf>
      <font>
        <color rgb="FF000000"/>
      </font>
      <fill>
        <patternFill>
          <bgColor rgb="FFFFFFFF"/>
        </patternFill>
      </fill>
    </dxf>
    <dxf>
      <font>
        <color rgb="FF000000"/>
      </font>
      <fill>
        <patternFill>
          <bgColor rgb="FF92D050"/>
        </patternFill>
      </fill>
    </dxf>
    <dxf>
      <font>
        <color rgb="FF000000"/>
      </font>
      <fill>
        <patternFill>
          <bgColor rgb="FFFFD966"/>
        </patternFill>
      </fill>
    </dxf>
    <dxf>
      <font>
        <color rgb="FF000000"/>
      </font>
      <fill>
        <patternFill>
          <bgColor rgb="FFFFFFFF"/>
        </patternFill>
      </fill>
    </dxf>
    <dxf>
      <font>
        <color rgb="FF000000"/>
      </font>
      <fill>
        <patternFill>
          <bgColor rgb="FF92D050"/>
        </patternFill>
      </fill>
    </dxf>
    <dxf>
      <font>
        <color rgb="FF000000"/>
      </font>
      <fill>
        <patternFill>
          <bgColor rgb="FFFFD966"/>
        </patternFill>
      </fill>
    </dxf>
    <dxf>
      <font>
        <color rgb="FF000000"/>
      </font>
      <fill>
        <patternFill>
          <bgColor rgb="FFFFFFFF"/>
        </patternFill>
      </fill>
    </dxf>
    <dxf>
      <font>
        <color rgb="FF000000"/>
      </font>
      <fill>
        <patternFill>
          <bgColor rgb="FF92D050"/>
        </patternFill>
      </fill>
    </dxf>
    <dxf>
      <font>
        <color rgb="FF000000"/>
      </font>
      <fill>
        <patternFill>
          <bgColor rgb="FFFFD966"/>
        </patternFill>
      </fill>
    </dxf>
    <dxf>
      <font>
        <color rgb="FF000000"/>
      </font>
      <fill>
        <patternFill>
          <bgColor rgb="FFFFFFFF"/>
        </patternFill>
      </fill>
    </dxf>
    <dxf>
      <font>
        <color rgb="FF000000"/>
      </font>
      <fill>
        <patternFill>
          <bgColor rgb="FF92D050"/>
        </patternFill>
      </fill>
    </dxf>
    <dxf>
      <font>
        <color rgb="FF000000"/>
      </font>
      <fill>
        <patternFill>
          <bgColor rgb="FFFFD966"/>
        </patternFill>
      </fill>
    </dxf>
    <dxf>
      <font>
        <color rgb="FF000000"/>
      </font>
      <fill>
        <patternFill>
          <bgColor rgb="FFFFFFFF"/>
        </patternFill>
      </fill>
    </dxf>
  </dxfs>
  <tableStyles count="0" defaultTableStyle="TableStyleMedium2" defaultPivotStyle="PivotStyleLight16"/>
  <colors>
    <mruColors>
      <color rgb="FF004D86"/>
      <color rgb="FFD7E6F4"/>
      <color rgb="FF92D050"/>
      <color rgb="FF9AC7F0"/>
      <color rgb="FF305496"/>
      <color rgb="FFF55F5F"/>
      <color rgb="FFFFD966"/>
      <color rgb="FFECF4FA"/>
      <color rgb="FFF69382"/>
      <color rgb="FF638E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Ressourceneinsatz &amp; Entwicklungsfortschritt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5.4824462808869115E-2"/>
          <c:y val="6.8461462549257598E-2"/>
          <c:w val="0.8968949531026178"/>
          <c:h val="0.77750762272777019"/>
        </c:manualLayout>
      </c:layout>
      <c:barChart>
        <c:barDir val="col"/>
        <c:grouping val="clustered"/>
        <c:varyColors val="0"/>
        <c:ser>
          <c:idx val="0"/>
          <c:order val="0"/>
          <c:tx>
            <c:strRef>
              <c:f>Ressourceneinsatz!$C$29</c:f>
              <c:strCache>
                <c:ptCount val="1"/>
                <c:pt idx="0">
                  <c:v>Einsatz FTE</c:v>
                </c:pt>
              </c:strCache>
            </c:strRef>
          </c:tx>
          <c:spPr>
            <a:solidFill>
              <a:srgbClr val="ED7D31">
                <a:lumMod val="40000"/>
                <a:lumOff val="60000"/>
              </a:srgbClr>
            </a:solidFill>
            <a:ln>
              <a:noFill/>
            </a:ln>
            <a:effectLst/>
          </c:spPr>
          <c:invertIfNegative val="0"/>
          <c:cat>
            <c:strRef>
              <c:f>Ressourceneinsatz!$E$4:$BE$4</c:f>
              <c:strCache>
                <c:ptCount val="53"/>
                <c:pt idx="0">
                  <c:v>KW22</c:v>
                </c:pt>
                <c:pt idx="1">
                  <c:v>KW23</c:v>
                </c:pt>
                <c:pt idx="2">
                  <c:v>KW24</c:v>
                </c:pt>
                <c:pt idx="3">
                  <c:v>KW25</c:v>
                </c:pt>
                <c:pt idx="4">
                  <c:v>KW26</c:v>
                </c:pt>
                <c:pt idx="5">
                  <c:v>KW27</c:v>
                </c:pt>
                <c:pt idx="6">
                  <c:v>KW28</c:v>
                </c:pt>
                <c:pt idx="7">
                  <c:v>KW29</c:v>
                </c:pt>
                <c:pt idx="8">
                  <c:v>KW30</c:v>
                </c:pt>
                <c:pt idx="9">
                  <c:v>KW31</c:v>
                </c:pt>
                <c:pt idx="10">
                  <c:v>KW32</c:v>
                </c:pt>
                <c:pt idx="11">
                  <c:v>KW33</c:v>
                </c:pt>
                <c:pt idx="12">
                  <c:v>KW34</c:v>
                </c:pt>
                <c:pt idx="13">
                  <c:v>KW35</c:v>
                </c:pt>
                <c:pt idx="14">
                  <c:v>KW36</c:v>
                </c:pt>
                <c:pt idx="15">
                  <c:v>KW37</c:v>
                </c:pt>
                <c:pt idx="16">
                  <c:v>KW38</c:v>
                </c:pt>
                <c:pt idx="17">
                  <c:v>KW39</c:v>
                </c:pt>
                <c:pt idx="18">
                  <c:v>KW40</c:v>
                </c:pt>
                <c:pt idx="19">
                  <c:v>KW41</c:v>
                </c:pt>
                <c:pt idx="20">
                  <c:v>KW42</c:v>
                </c:pt>
                <c:pt idx="21">
                  <c:v>KW43</c:v>
                </c:pt>
                <c:pt idx="22">
                  <c:v>KW44</c:v>
                </c:pt>
                <c:pt idx="23">
                  <c:v>KW45</c:v>
                </c:pt>
                <c:pt idx="24">
                  <c:v>KW46</c:v>
                </c:pt>
                <c:pt idx="25">
                  <c:v>KW47</c:v>
                </c:pt>
                <c:pt idx="26">
                  <c:v>KW48</c:v>
                </c:pt>
                <c:pt idx="27">
                  <c:v>KW49</c:v>
                </c:pt>
                <c:pt idx="28">
                  <c:v>KW50</c:v>
                </c:pt>
                <c:pt idx="29">
                  <c:v>KW51</c:v>
                </c:pt>
                <c:pt idx="30">
                  <c:v>KW52</c:v>
                </c:pt>
                <c:pt idx="31">
                  <c:v>KW1</c:v>
                </c:pt>
                <c:pt idx="32">
                  <c:v>KW2</c:v>
                </c:pt>
                <c:pt idx="33">
                  <c:v>KW3</c:v>
                </c:pt>
                <c:pt idx="34">
                  <c:v>KW4</c:v>
                </c:pt>
                <c:pt idx="35">
                  <c:v>KW5</c:v>
                </c:pt>
                <c:pt idx="36">
                  <c:v>KW6</c:v>
                </c:pt>
                <c:pt idx="37">
                  <c:v>KW7</c:v>
                </c:pt>
                <c:pt idx="38">
                  <c:v>KW8</c:v>
                </c:pt>
                <c:pt idx="39">
                  <c:v>KW9</c:v>
                </c:pt>
                <c:pt idx="40">
                  <c:v>KW10</c:v>
                </c:pt>
                <c:pt idx="41">
                  <c:v>KW11</c:v>
                </c:pt>
                <c:pt idx="42">
                  <c:v>KW12</c:v>
                </c:pt>
                <c:pt idx="43">
                  <c:v>KW13</c:v>
                </c:pt>
                <c:pt idx="44">
                  <c:v>KW14</c:v>
                </c:pt>
                <c:pt idx="45">
                  <c:v>KW15</c:v>
                </c:pt>
                <c:pt idx="46">
                  <c:v>KW16</c:v>
                </c:pt>
                <c:pt idx="47">
                  <c:v>KW17</c:v>
                </c:pt>
                <c:pt idx="48">
                  <c:v>KW18</c:v>
                </c:pt>
                <c:pt idx="49">
                  <c:v>KW19</c:v>
                </c:pt>
                <c:pt idx="50">
                  <c:v>KW20</c:v>
                </c:pt>
                <c:pt idx="51">
                  <c:v>KW21</c:v>
                </c:pt>
                <c:pt idx="52">
                  <c:v>KW22</c:v>
                </c:pt>
              </c:strCache>
            </c:strRef>
          </c:cat>
          <c:val>
            <c:numRef>
              <c:f>Ressourceneinsatz!$E$29:$BE$29</c:f>
              <c:numCache>
                <c:formatCode>0.0</c:formatCode>
                <c:ptCount val="53"/>
                <c:pt idx="0">
                  <c:v>0.30625000000000002</c:v>
                </c:pt>
                <c:pt idx="1">
                  <c:v>5.4249999999999998</c:v>
                </c:pt>
                <c:pt idx="2">
                  <c:v>8.8312500000000007</c:v>
                </c:pt>
                <c:pt idx="3">
                  <c:v>9.2750000000000004</c:v>
                </c:pt>
                <c:pt idx="4">
                  <c:v>7.0437500000000002</c:v>
                </c:pt>
                <c:pt idx="5">
                  <c:v>8.15625</c:v>
                </c:pt>
                <c:pt idx="6">
                  <c:v>9.7249999999999996</c:v>
                </c:pt>
                <c:pt idx="7">
                  <c:v>10.43125</c:v>
                </c:pt>
                <c:pt idx="8">
                  <c:v>10.225</c:v>
                </c:pt>
                <c:pt idx="9">
                  <c:v>8.35</c:v>
                </c:pt>
                <c:pt idx="10">
                  <c:v>9.65</c:v>
                </c:pt>
                <c:pt idx="11">
                  <c:v>11.675000000000001</c:v>
                </c:pt>
                <c:pt idx="12">
                  <c:v>10.3375</c:v>
                </c:pt>
                <c:pt idx="13">
                  <c:v>11.09375</c:v>
                </c:pt>
                <c:pt idx="14">
                  <c:v>9.5250000000000004</c:v>
                </c:pt>
                <c:pt idx="15">
                  <c:v>11.375</c:v>
                </c:pt>
                <c:pt idx="16">
                  <c:v>7.3062500000000004</c:v>
                </c:pt>
                <c:pt idx="17">
                  <c:v>9.3480000000000008</c:v>
                </c:pt>
                <c:pt idx="18">
                  <c:v>4.9337499999999999</c:v>
                </c:pt>
              </c:numCache>
            </c:numRef>
          </c:val>
          <c:extLst>
            <c:ext xmlns:c16="http://schemas.microsoft.com/office/drawing/2014/chart" uri="{C3380CC4-5D6E-409C-BE32-E72D297353CC}">
              <c16:uniqueId val="{00000000-0074-4E65-9A47-2B374EB77510}"/>
            </c:ext>
          </c:extLst>
        </c:ser>
        <c:ser>
          <c:idx val="1"/>
          <c:order val="1"/>
          <c:tx>
            <c:strRef>
              <c:f>Ressourceneinsatz!$C$42</c:f>
              <c:strCache>
                <c:ptCount val="1"/>
                <c:pt idx="0">
                  <c:v>Δ Entwicklung Rest</c:v>
                </c:pt>
              </c:strCache>
            </c:strRef>
          </c:tx>
          <c:spPr>
            <a:solidFill>
              <a:srgbClr val="44546A">
                <a:lumMod val="40000"/>
                <a:lumOff val="60000"/>
              </a:srgbClr>
            </a:solidFill>
            <a:ln>
              <a:noFill/>
            </a:ln>
            <a:effectLst/>
          </c:spPr>
          <c:invertIfNegative val="0"/>
          <c:cat>
            <c:strRef>
              <c:f>Ressourceneinsatz!$E$4:$BE$4</c:f>
              <c:strCache>
                <c:ptCount val="53"/>
                <c:pt idx="0">
                  <c:v>KW22</c:v>
                </c:pt>
                <c:pt idx="1">
                  <c:v>KW23</c:v>
                </c:pt>
                <c:pt idx="2">
                  <c:v>KW24</c:v>
                </c:pt>
                <c:pt idx="3">
                  <c:v>KW25</c:v>
                </c:pt>
                <c:pt idx="4">
                  <c:v>KW26</c:v>
                </c:pt>
                <c:pt idx="5">
                  <c:v>KW27</c:v>
                </c:pt>
                <c:pt idx="6">
                  <c:v>KW28</c:v>
                </c:pt>
                <c:pt idx="7">
                  <c:v>KW29</c:v>
                </c:pt>
                <c:pt idx="8">
                  <c:v>KW30</c:v>
                </c:pt>
                <c:pt idx="9">
                  <c:v>KW31</c:v>
                </c:pt>
                <c:pt idx="10">
                  <c:v>KW32</c:v>
                </c:pt>
                <c:pt idx="11">
                  <c:v>KW33</c:v>
                </c:pt>
                <c:pt idx="12">
                  <c:v>KW34</c:v>
                </c:pt>
                <c:pt idx="13">
                  <c:v>KW35</c:v>
                </c:pt>
                <c:pt idx="14">
                  <c:v>KW36</c:v>
                </c:pt>
                <c:pt idx="15">
                  <c:v>KW37</c:v>
                </c:pt>
                <c:pt idx="16">
                  <c:v>KW38</c:v>
                </c:pt>
                <c:pt idx="17">
                  <c:v>KW39</c:v>
                </c:pt>
                <c:pt idx="18">
                  <c:v>KW40</c:v>
                </c:pt>
                <c:pt idx="19">
                  <c:v>KW41</c:v>
                </c:pt>
                <c:pt idx="20">
                  <c:v>KW42</c:v>
                </c:pt>
                <c:pt idx="21">
                  <c:v>KW43</c:v>
                </c:pt>
                <c:pt idx="22">
                  <c:v>KW44</c:v>
                </c:pt>
                <c:pt idx="23">
                  <c:v>KW45</c:v>
                </c:pt>
                <c:pt idx="24">
                  <c:v>KW46</c:v>
                </c:pt>
                <c:pt idx="25">
                  <c:v>KW47</c:v>
                </c:pt>
                <c:pt idx="26">
                  <c:v>KW48</c:v>
                </c:pt>
                <c:pt idx="27">
                  <c:v>KW49</c:v>
                </c:pt>
                <c:pt idx="28">
                  <c:v>KW50</c:v>
                </c:pt>
                <c:pt idx="29">
                  <c:v>KW51</c:v>
                </c:pt>
                <c:pt idx="30">
                  <c:v>KW52</c:v>
                </c:pt>
                <c:pt idx="31">
                  <c:v>KW1</c:v>
                </c:pt>
                <c:pt idx="32">
                  <c:v>KW2</c:v>
                </c:pt>
                <c:pt idx="33">
                  <c:v>KW3</c:v>
                </c:pt>
                <c:pt idx="34">
                  <c:v>KW4</c:v>
                </c:pt>
                <c:pt idx="35">
                  <c:v>KW5</c:v>
                </c:pt>
                <c:pt idx="36">
                  <c:v>KW6</c:v>
                </c:pt>
                <c:pt idx="37">
                  <c:v>KW7</c:v>
                </c:pt>
                <c:pt idx="38">
                  <c:v>KW8</c:v>
                </c:pt>
                <c:pt idx="39">
                  <c:v>KW9</c:v>
                </c:pt>
                <c:pt idx="40">
                  <c:v>KW10</c:v>
                </c:pt>
                <c:pt idx="41">
                  <c:v>KW11</c:v>
                </c:pt>
                <c:pt idx="42">
                  <c:v>KW12</c:v>
                </c:pt>
                <c:pt idx="43">
                  <c:v>KW13</c:v>
                </c:pt>
                <c:pt idx="44">
                  <c:v>KW14</c:v>
                </c:pt>
                <c:pt idx="45">
                  <c:v>KW15</c:v>
                </c:pt>
                <c:pt idx="46">
                  <c:v>KW16</c:v>
                </c:pt>
                <c:pt idx="47">
                  <c:v>KW17</c:v>
                </c:pt>
                <c:pt idx="48">
                  <c:v>KW18</c:v>
                </c:pt>
                <c:pt idx="49">
                  <c:v>KW19</c:v>
                </c:pt>
                <c:pt idx="50">
                  <c:v>KW20</c:v>
                </c:pt>
                <c:pt idx="51">
                  <c:v>KW21</c:v>
                </c:pt>
                <c:pt idx="52">
                  <c:v>KW22</c:v>
                </c:pt>
              </c:strCache>
            </c:strRef>
          </c:cat>
          <c:val>
            <c:numRef>
              <c:f>Ressourceneinsatz!$E$42:$BE$42</c:f>
              <c:numCache>
                <c:formatCode>0.0</c:formatCode>
                <c:ptCount val="53"/>
              </c:numCache>
            </c:numRef>
          </c:val>
          <c:extLst>
            <c:ext xmlns:c16="http://schemas.microsoft.com/office/drawing/2014/chart" uri="{C3380CC4-5D6E-409C-BE32-E72D297353CC}">
              <c16:uniqueId val="{00000001-0074-4E65-9A47-2B374EB77510}"/>
            </c:ext>
          </c:extLst>
        </c:ser>
        <c:ser>
          <c:idx val="2"/>
          <c:order val="2"/>
          <c:tx>
            <c:strRef>
              <c:f>Ressourceneinsatz!$C$43</c:f>
              <c:strCache>
                <c:ptCount val="1"/>
                <c:pt idx="0">
                  <c:v>Δ Entwicklung aktuell</c:v>
                </c:pt>
              </c:strCache>
            </c:strRef>
          </c:tx>
          <c:spPr>
            <a:solidFill>
              <a:srgbClr val="4472C4">
                <a:lumMod val="40000"/>
                <a:lumOff val="60000"/>
              </a:srgbClr>
            </a:solidFill>
            <a:ln>
              <a:noFill/>
            </a:ln>
            <a:effectLst/>
          </c:spPr>
          <c:invertIfNegative val="0"/>
          <c:cat>
            <c:strRef>
              <c:f>Ressourceneinsatz!$E$4:$BE$4</c:f>
              <c:strCache>
                <c:ptCount val="53"/>
                <c:pt idx="0">
                  <c:v>KW22</c:v>
                </c:pt>
                <c:pt idx="1">
                  <c:v>KW23</c:v>
                </c:pt>
                <c:pt idx="2">
                  <c:v>KW24</c:v>
                </c:pt>
                <c:pt idx="3">
                  <c:v>KW25</c:v>
                </c:pt>
                <c:pt idx="4">
                  <c:v>KW26</c:v>
                </c:pt>
                <c:pt idx="5">
                  <c:v>KW27</c:v>
                </c:pt>
                <c:pt idx="6">
                  <c:v>KW28</c:v>
                </c:pt>
                <c:pt idx="7">
                  <c:v>KW29</c:v>
                </c:pt>
                <c:pt idx="8">
                  <c:v>KW30</c:v>
                </c:pt>
                <c:pt idx="9">
                  <c:v>KW31</c:v>
                </c:pt>
                <c:pt idx="10">
                  <c:v>KW32</c:v>
                </c:pt>
                <c:pt idx="11">
                  <c:v>KW33</c:v>
                </c:pt>
                <c:pt idx="12">
                  <c:v>KW34</c:v>
                </c:pt>
                <c:pt idx="13">
                  <c:v>KW35</c:v>
                </c:pt>
                <c:pt idx="14">
                  <c:v>KW36</c:v>
                </c:pt>
                <c:pt idx="15">
                  <c:v>KW37</c:v>
                </c:pt>
                <c:pt idx="16">
                  <c:v>KW38</c:v>
                </c:pt>
                <c:pt idx="17">
                  <c:v>KW39</c:v>
                </c:pt>
                <c:pt idx="18">
                  <c:v>KW40</c:v>
                </c:pt>
                <c:pt idx="19">
                  <c:v>KW41</c:v>
                </c:pt>
                <c:pt idx="20">
                  <c:v>KW42</c:v>
                </c:pt>
                <c:pt idx="21">
                  <c:v>KW43</c:v>
                </c:pt>
                <c:pt idx="22">
                  <c:v>KW44</c:v>
                </c:pt>
                <c:pt idx="23">
                  <c:v>KW45</c:v>
                </c:pt>
                <c:pt idx="24">
                  <c:v>KW46</c:v>
                </c:pt>
                <c:pt idx="25">
                  <c:v>KW47</c:v>
                </c:pt>
                <c:pt idx="26">
                  <c:v>KW48</c:v>
                </c:pt>
                <c:pt idx="27">
                  <c:v>KW49</c:v>
                </c:pt>
                <c:pt idx="28">
                  <c:v>KW50</c:v>
                </c:pt>
                <c:pt idx="29">
                  <c:v>KW51</c:v>
                </c:pt>
                <c:pt idx="30">
                  <c:v>KW52</c:v>
                </c:pt>
                <c:pt idx="31">
                  <c:v>KW1</c:v>
                </c:pt>
                <c:pt idx="32">
                  <c:v>KW2</c:v>
                </c:pt>
                <c:pt idx="33">
                  <c:v>KW3</c:v>
                </c:pt>
                <c:pt idx="34">
                  <c:v>KW4</c:v>
                </c:pt>
                <c:pt idx="35">
                  <c:v>KW5</c:v>
                </c:pt>
                <c:pt idx="36">
                  <c:v>KW6</c:v>
                </c:pt>
                <c:pt idx="37">
                  <c:v>KW7</c:v>
                </c:pt>
                <c:pt idx="38">
                  <c:v>KW8</c:v>
                </c:pt>
                <c:pt idx="39">
                  <c:v>KW9</c:v>
                </c:pt>
                <c:pt idx="40">
                  <c:v>KW10</c:v>
                </c:pt>
                <c:pt idx="41">
                  <c:v>KW11</c:v>
                </c:pt>
                <c:pt idx="42">
                  <c:v>KW12</c:v>
                </c:pt>
                <c:pt idx="43">
                  <c:v>KW13</c:v>
                </c:pt>
                <c:pt idx="44">
                  <c:v>KW14</c:v>
                </c:pt>
                <c:pt idx="45">
                  <c:v>KW15</c:v>
                </c:pt>
                <c:pt idx="46">
                  <c:v>KW16</c:v>
                </c:pt>
                <c:pt idx="47">
                  <c:v>KW17</c:v>
                </c:pt>
                <c:pt idx="48">
                  <c:v>KW18</c:v>
                </c:pt>
                <c:pt idx="49">
                  <c:v>KW19</c:v>
                </c:pt>
                <c:pt idx="50">
                  <c:v>KW20</c:v>
                </c:pt>
                <c:pt idx="51">
                  <c:v>KW21</c:v>
                </c:pt>
                <c:pt idx="52">
                  <c:v>KW22</c:v>
                </c:pt>
              </c:strCache>
            </c:strRef>
          </c:cat>
          <c:val>
            <c:numRef>
              <c:f>Ressourceneinsatz!$E$43:$BE$43</c:f>
              <c:numCache>
                <c:formatCode>0.0</c:formatCode>
                <c:ptCount val="53"/>
              </c:numCache>
            </c:numRef>
          </c:val>
          <c:extLst>
            <c:ext xmlns:c16="http://schemas.microsoft.com/office/drawing/2014/chart" uri="{C3380CC4-5D6E-409C-BE32-E72D297353CC}">
              <c16:uniqueId val="{00000002-0074-4E65-9A47-2B374EB77510}"/>
            </c:ext>
          </c:extLst>
        </c:ser>
        <c:dLbls>
          <c:showLegendKey val="0"/>
          <c:showVal val="0"/>
          <c:showCatName val="0"/>
          <c:showSerName val="0"/>
          <c:showPercent val="0"/>
          <c:showBubbleSize val="0"/>
        </c:dLbls>
        <c:gapWidth val="150"/>
        <c:axId val="1045454416"/>
        <c:axId val="1045464256"/>
      </c:barChart>
      <c:lineChart>
        <c:grouping val="standard"/>
        <c:varyColors val="0"/>
        <c:ser>
          <c:idx val="3"/>
          <c:order val="3"/>
          <c:tx>
            <c:strRef>
              <c:f>Ressourceneinsatz!$C$35</c:f>
              <c:strCache>
                <c:ptCount val="1"/>
                <c:pt idx="0">
                  <c:v>Entwicklung aktuell</c:v>
                </c:pt>
              </c:strCache>
            </c:strRef>
          </c:tx>
          <c:spPr>
            <a:ln w="19050" cap="rnd" cmpd="sng" algn="ctr">
              <a:solidFill>
                <a:srgbClr val="4472C4">
                  <a:lumMod val="100000"/>
                </a:srgbClr>
              </a:solidFill>
              <a:prstDash val="solid"/>
              <a:round/>
              <a:headEnd type="none" w="med" len="med"/>
              <a:tailEnd type="none" w="med" len="med"/>
            </a:ln>
            <a:effectLst/>
          </c:spPr>
          <c:marker>
            <c:symbol val="none"/>
          </c:marker>
          <c:cat>
            <c:strRef>
              <c:f>Ressourceneinsatz!$E$4:$BE$4</c:f>
              <c:strCache>
                <c:ptCount val="53"/>
                <c:pt idx="0">
                  <c:v>KW22</c:v>
                </c:pt>
                <c:pt idx="1">
                  <c:v>KW23</c:v>
                </c:pt>
                <c:pt idx="2">
                  <c:v>KW24</c:v>
                </c:pt>
                <c:pt idx="3">
                  <c:v>KW25</c:v>
                </c:pt>
                <c:pt idx="4">
                  <c:v>KW26</c:v>
                </c:pt>
                <c:pt idx="5">
                  <c:v>KW27</c:v>
                </c:pt>
                <c:pt idx="6">
                  <c:v>KW28</c:v>
                </c:pt>
                <c:pt idx="7">
                  <c:v>KW29</c:v>
                </c:pt>
                <c:pt idx="8">
                  <c:v>KW30</c:v>
                </c:pt>
                <c:pt idx="9">
                  <c:v>KW31</c:v>
                </c:pt>
                <c:pt idx="10">
                  <c:v>KW32</c:v>
                </c:pt>
                <c:pt idx="11">
                  <c:v>KW33</c:v>
                </c:pt>
                <c:pt idx="12">
                  <c:v>KW34</c:v>
                </c:pt>
                <c:pt idx="13">
                  <c:v>KW35</c:v>
                </c:pt>
                <c:pt idx="14">
                  <c:v>KW36</c:v>
                </c:pt>
                <c:pt idx="15">
                  <c:v>KW37</c:v>
                </c:pt>
                <c:pt idx="16">
                  <c:v>KW38</c:v>
                </c:pt>
                <c:pt idx="17">
                  <c:v>KW39</c:v>
                </c:pt>
                <c:pt idx="18">
                  <c:v>KW40</c:v>
                </c:pt>
                <c:pt idx="19">
                  <c:v>KW41</c:v>
                </c:pt>
                <c:pt idx="20">
                  <c:v>KW42</c:v>
                </c:pt>
                <c:pt idx="21">
                  <c:v>KW43</c:v>
                </c:pt>
                <c:pt idx="22">
                  <c:v>KW44</c:v>
                </c:pt>
                <c:pt idx="23">
                  <c:v>KW45</c:v>
                </c:pt>
                <c:pt idx="24">
                  <c:v>KW46</c:v>
                </c:pt>
                <c:pt idx="25">
                  <c:v>KW47</c:v>
                </c:pt>
                <c:pt idx="26">
                  <c:v>KW48</c:v>
                </c:pt>
                <c:pt idx="27">
                  <c:v>KW49</c:v>
                </c:pt>
                <c:pt idx="28">
                  <c:v>KW50</c:v>
                </c:pt>
                <c:pt idx="29">
                  <c:v>KW51</c:v>
                </c:pt>
                <c:pt idx="30">
                  <c:v>KW52</c:v>
                </c:pt>
                <c:pt idx="31">
                  <c:v>KW1</c:v>
                </c:pt>
                <c:pt idx="32">
                  <c:v>KW2</c:v>
                </c:pt>
                <c:pt idx="33">
                  <c:v>KW3</c:v>
                </c:pt>
                <c:pt idx="34">
                  <c:v>KW4</c:v>
                </c:pt>
                <c:pt idx="35">
                  <c:v>KW5</c:v>
                </c:pt>
                <c:pt idx="36">
                  <c:v>KW6</c:v>
                </c:pt>
                <c:pt idx="37">
                  <c:v>KW7</c:v>
                </c:pt>
                <c:pt idx="38">
                  <c:v>KW8</c:v>
                </c:pt>
                <c:pt idx="39">
                  <c:v>KW9</c:v>
                </c:pt>
                <c:pt idx="40">
                  <c:v>KW10</c:v>
                </c:pt>
                <c:pt idx="41">
                  <c:v>KW11</c:v>
                </c:pt>
                <c:pt idx="42">
                  <c:v>KW12</c:v>
                </c:pt>
                <c:pt idx="43">
                  <c:v>KW13</c:v>
                </c:pt>
                <c:pt idx="44">
                  <c:v>KW14</c:v>
                </c:pt>
                <c:pt idx="45">
                  <c:v>KW15</c:v>
                </c:pt>
                <c:pt idx="46">
                  <c:v>KW16</c:v>
                </c:pt>
                <c:pt idx="47">
                  <c:v>KW17</c:v>
                </c:pt>
                <c:pt idx="48">
                  <c:v>KW18</c:v>
                </c:pt>
                <c:pt idx="49">
                  <c:v>KW19</c:v>
                </c:pt>
                <c:pt idx="50">
                  <c:v>KW20</c:v>
                </c:pt>
                <c:pt idx="51">
                  <c:v>KW21</c:v>
                </c:pt>
                <c:pt idx="52">
                  <c:v>KW22</c:v>
                </c:pt>
              </c:strCache>
            </c:strRef>
          </c:cat>
          <c:val>
            <c:numRef>
              <c:f>Ressourceneinsatz!$E$35:$BE$35</c:f>
              <c:numCache>
                <c:formatCode>0.0</c:formatCode>
                <c:ptCount val="53"/>
              </c:numCache>
            </c:numRef>
          </c:val>
          <c:smooth val="0"/>
          <c:extLst>
            <c:ext xmlns:c16="http://schemas.microsoft.com/office/drawing/2014/chart" uri="{C3380CC4-5D6E-409C-BE32-E72D297353CC}">
              <c16:uniqueId val="{00000003-0074-4E65-9A47-2B374EB77510}"/>
            </c:ext>
          </c:extLst>
        </c:ser>
        <c:ser>
          <c:idx val="4"/>
          <c:order val="4"/>
          <c:tx>
            <c:strRef>
              <c:f>Ressourceneinsatz!$C$36</c:f>
              <c:strCache>
                <c:ptCount val="1"/>
                <c:pt idx="0">
                  <c:v>Entwicklung Rest</c:v>
                </c:pt>
              </c:strCache>
            </c:strRef>
          </c:tx>
          <c:spPr>
            <a:ln w="19050" cap="rnd" cmpd="sng" algn="ctr">
              <a:solidFill>
                <a:sysClr val="windowText" lastClr="000000">
                  <a:lumMod val="100000"/>
                </a:sysClr>
              </a:solidFill>
              <a:prstDash val="solid"/>
              <a:round/>
              <a:headEnd type="none" w="med" len="med"/>
              <a:tailEnd type="none" w="med" len="med"/>
            </a:ln>
            <a:effectLst/>
          </c:spPr>
          <c:marker>
            <c:symbol val="none"/>
          </c:marker>
          <c:cat>
            <c:strRef>
              <c:f>Ressourceneinsatz!$E$4:$BE$4</c:f>
              <c:strCache>
                <c:ptCount val="53"/>
                <c:pt idx="0">
                  <c:v>KW22</c:v>
                </c:pt>
                <c:pt idx="1">
                  <c:v>KW23</c:v>
                </c:pt>
                <c:pt idx="2">
                  <c:v>KW24</c:v>
                </c:pt>
                <c:pt idx="3">
                  <c:v>KW25</c:v>
                </c:pt>
                <c:pt idx="4">
                  <c:v>KW26</c:v>
                </c:pt>
                <c:pt idx="5">
                  <c:v>KW27</c:v>
                </c:pt>
                <c:pt idx="6">
                  <c:v>KW28</c:v>
                </c:pt>
                <c:pt idx="7">
                  <c:v>KW29</c:v>
                </c:pt>
                <c:pt idx="8">
                  <c:v>KW30</c:v>
                </c:pt>
                <c:pt idx="9">
                  <c:v>KW31</c:v>
                </c:pt>
                <c:pt idx="10">
                  <c:v>KW32</c:v>
                </c:pt>
                <c:pt idx="11">
                  <c:v>KW33</c:v>
                </c:pt>
                <c:pt idx="12">
                  <c:v>KW34</c:v>
                </c:pt>
                <c:pt idx="13">
                  <c:v>KW35</c:v>
                </c:pt>
                <c:pt idx="14">
                  <c:v>KW36</c:v>
                </c:pt>
                <c:pt idx="15">
                  <c:v>KW37</c:v>
                </c:pt>
                <c:pt idx="16">
                  <c:v>KW38</c:v>
                </c:pt>
                <c:pt idx="17">
                  <c:v>KW39</c:v>
                </c:pt>
                <c:pt idx="18">
                  <c:v>KW40</c:v>
                </c:pt>
                <c:pt idx="19">
                  <c:v>KW41</c:v>
                </c:pt>
                <c:pt idx="20">
                  <c:v>KW42</c:v>
                </c:pt>
                <c:pt idx="21">
                  <c:v>KW43</c:v>
                </c:pt>
                <c:pt idx="22">
                  <c:v>KW44</c:v>
                </c:pt>
                <c:pt idx="23">
                  <c:v>KW45</c:v>
                </c:pt>
                <c:pt idx="24">
                  <c:v>KW46</c:v>
                </c:pt>
                <c:pt idx="25">
                  <c:v>KW47</c:v>
                </c:pt>
                <c:pt idx="26">
                  <c:v>KW48</c:v>
                </c:pt>
                <c:pt idx="27">
                  <c:v>KW49</c:v>
                </c:pt>
                <c:pt idx="28">
                  <c:v>KW50</c:v>
                </c:pt>
                <c:pt idx="29">
                  <c:v>KW51</c:v>
                </c:pt>
                <c:pt idx="30">
                  <c:v>KW52</c:v>
                </c:pt>
                <c:pt idx="31">
                  <c:v>KW1</c:v>
                </c:pt>
                <c:pt idx="32">
                  <c:v>KW2</c:v>
                </c:pt>
                <c:pt idx="33">
                  <c:v>KW3</c:v>
                </c:pt>
                <c:pt idx="34">
                  <c:v>KW4</c:v>
                </c:pt>
                <c:pt idx="35">
                  <c:v>KW5</c:v>
                </c:pt>
                <c:pt idx="36">
                  <c:v>KW6</c:v>
                </c:pt>
                <c:pt idx="37">
                  <c:v>KW7</c:v>
                </c:pt>
                <c:pt idx="38">
                  <c:v>KW8</c:v>
                </c:pt>
                <c:pt idx="39">
                  <c:v>KW9</c:v>
                </c:pt>
                <c:pt idx="40">
                  <c:v>KW10</c:v>
                </c:pt>
                <c:pt idx="41">
                  <c:v>KW11</c:v>
                </c:pt>
                <c:pt idx="42">
                  <c:v>KW12</c:v>
                </c:pt>
                <c:pt idx="43">
                  <c:v>KW13</c:v>
                </c:pt>
                <c:pt idx="44">
                  <c:v>KW14</c:v>
                </c:pt>
                <c:pt idx="45">
                  <c:v>KW15</c:v>
                </c:pt>
                <c:pt idx="46">
                  <c:v>KW16</c:v>
                </c:pt>
                <c:pt idx="47">
                  <c:v>KW17</c:v>
                </c:pt>
                <c:pt idx="48">
                  <c:v>KW18</c:v>
                </c:pt>
                <c:pt idx="49">
                  <c:v>KW19</c:v>
                </c:pt>
                <c:pt idx="50">
                  <c:v>KW20</c:v>
                </c:pt>
                <c:pt idx="51">
                  <c:v>KW21</c:v>
                </c:pt>
                <c:pt idx="52">
                  <c:v>KW22</c:v>
                </c:pt>
              </c:strCache>
            </c:strRef>
          </c:cat>
          <c:val>
            <c:numRef>
              <c:f>Ressourceneinsatz!$E$36:$BE$36</c:f>
              <c:numCache>
                <c:formatCode>0.0</c:formatCode>
                <c:ptCount val="53"/>
              </c:numCache>
            </c:numRef>
          </c:val>
          <c:smooth val="0"/>
          <c:extLst>
            <c:ext xmlns:c16="http://schemas.microsoft.com/office/drawing/2014/chart" uri="{C3380CC4-5D6E-409C-BE32-E72D297353CC}">
              <c16:uniqueId val="{00000004-0074-4E65-9A47-2B374EB77510}"/>
            </c:ext>
          </c:extLst>
        </c:ser>
        <c:ser>
          <c:idx val="5"/>
          <c:order val="5"/>
          <c:tx>
            <c:strRef>
              <c:f>Ressourceneinsatz!$C$44</c:f>
              <c:strCache>
                <c:ptCount val="1"/>
                <c:pt idx="0">
                  <c:v>Soll</c:v>
                </c:pt>
              </c:strCache>
            </c:strRef>
          </c:tx>
          <c:spPr>
            <a:ln w="19050" cap="rnd" cmpd="sng" algn="ctr">
              <a:solidFill>
                <a:srgbClr val="E7E6E6">
                  <a:lumMod val="90000"/>
                </a:srgbClr>
              </a:solidFill>
              <a:prstDash val="solid"/>
              <a:round/>
              <a:headEnd type="none" w="med" len="med"/>
              <a:tailEnd type="none" w="med" len="med"/>
            </a:ln>
            <a:effectLst/>
          </c:spPr>
          <c:marker>
            <c:symbol val="none"/>
          </c:marker>
          <c:cat>
            <c:strRef>
              <c:f>Ressourceneinsatz!$E$4:$BE$4</c:f>
              <c:strCache>
                <c:ptCount val="53"/>
                <c:pt idx="0">
                  <c:v>KW22</c:v>
                </c:pt>
                <c:pt idx="1">
                  <c:v>KW23</c:v>
                </c:pt>
                <c:pt idx="2">
                  <c:v>KW24</c:v>
                </c:pt>
                <c:pt idx="3">
                  <c:v>KW25</c:v>
                </c:pt>
                <c:pt idx="4">
                  <c:v>KW26</c:v>
                </c:pt>
                <c:pt idx="5">
                  <c:v>KW27</c:v>
                </c:pt>
                <c:pt idx="6">
                  <c:v>KW28</c:v>
                </c:pt>
                <c:pt idx="7">
                  <c:v>KW29</c:v>
                </c:pt>
                <c:pt idx="8">
                  <c:v>KW30</c:v>
                </c:pt>
                <c:pt idx="9">
                  <c:v>KW31</c:v>
                </c:pt>
                <c:pt idx="10">
                  <c:v>KW32</c:v>
                </c:pt>
                <c:pt idx="11">
                  <c:v>KW33</c:v>
                </c:pt>
                <c:pt idx="12">
                  <c:v>KW34</c:v>
                </c:pt>
                <c:pt idx="13">
                  <c:v>KW35</c:v>
                </c:pt>
                <c:pt idx="14">
                  <c:v>KW36</c:v>
                </c:pt>
                <c:pt idx="15">
                  <c:v>KW37</c:v>
                </c:pt>
                <c:pt idx="16">
                  <c:v>KW38</c:v>
                </c:pt>
                <c:pt idx="17">
                  <c:v>KW39</c:v>
                </c:pt>
                <c:pt idx="18">
                  <c:v>KW40</c:v>
                </c:pt>
                <c:pt idx="19">
                  <c:v>KW41</c:v>
                </c:pt>
                <c:pt idx="20">
                  <c:v>KW42</c:v>
                </c:pt>
                <c:pt idx="21">
                  <c:v>KW43</c:v>
                </c:pt>
                <c:pt idx="22">
                  <c:v>KW44</c:v>
                </c:pt>
                <c:pt idx="23">
                  <c:v>KW45</c:v>
                </c:pt>
                <c:pt idx="24">
                  <c:v>KW46</c:v>
                </c:pt>
                <c:pt idx="25">
                  <c:v>KW47</c:v>
                </c:pt>
                <c:pt idx="26">
                  <c:v>KW48</c:v>
                </c:pt>
                <c:pt idx="27">
                  <c:v>KW49</c:v>
                </c:pt>
                <c:pt idx="28">
                  <c:v>KW50</c:v>
                </c:pt>
                <c:pt idx="29">
                  <c:v>KW51</c:v>
                </c:pt>
                <c:pt idx="30">
                  <c:v>KW52</c:v>
                </c:pt>
                <c:pt idx="31">
                  <c:v>KW1</c:v>
                </c:pt>
                <c:pt idx="32">
                  <c:v>KW2</c:v>
                </c:pt>
                <c:pt idx="33">
                  <c:v>KW3</c:v>
                </c:pt>
                <c:pt idx="34">
                  <c:v>KW4</c:v>
                </c:pt>
                <c:pt idx="35">
                  <c:v>KW5</c:v>
                </c:pt>
                <c:pt idx="36">
                  <c:v>KW6</c:v>
                </c:pt>
                <c:pt idx="37">
                  <c:v>KW7</c:v>
                </c:pt>
                <c:pt idx="38">
                  <c:v>KW8</c:v>
                </c:pt>
                <c:pt idx="39">
                  <c:v>KW9</c:v>
                </c:pt>
                <c:pt idx="40">
                  <c:v>KW10</c:v>
                </c:pt>
                <c:pt idx="41">
                  <c:v>KW11</c:v>
                </c:pt>
                <c:pt idx="42">
                  <c:v>KW12</c:v>
                </c:pt>
                <c:pt idx="43">
                  <c:v>KW13</c:v>
                </c:pt>
                <c:pt idx="44">
                  <c:v>KW14</c:v>
                </c:pt>
                <c:pt idx="45">
                  <c:v>KW15</c:v>
                </c:pt>
                <c:pt idx="46">
                  <c:v>KW16</c:v>
                </c:pt>
                <c:pt idx="47">
                  <c:v>KW17</c:v>
                </c:pt>
                <c:pt idx="48">
                  <c:v>KW18</c:v>
                </c:pt>
                <c:pt idx="49">
                  <c:v>KW19</c:v>
                </c:pt>
                <c:pt idx="50">
                  <c:v>KW20</c:v>
                </c:pt>
                <c:pt idx="51">
                  <c:v>KW21</c:v>
                </c:pt>
                <c:pt idx="52">
                  <c:v>KW22</c:v>
                </c:pt>
              </c:strCache>
            </c:strRef>
          </c:cat>
          <c:val>
            <c:numRef>
              <c:f>Ressourceneinsatz!$E$44:$BE$44</c:f>
              <c:numCache>
                <c:formatCode>0.0</c:formatCode>
                <c:ptCount val="53"/>
                <c:pt idx="0">
                  <c:v>14101.811320754718</c:v>
                </c:pt>
                <c:pt idx="1">
                  <c:v>13830.622641509435</c:v>
                </c:pt>
                <c:pt idx="2">
                  <c:v>13559.433962264153</c:v>
                </c:pt>
                <c:pt idx="3">
                  <c:v>13288.24528301887</c:v>
                </c:pt>
                <c:pt idx="4">
                  <c:v>13017.056603773588</c:v>
                </c:pt>
                <c:pt idx="5">
                  <c:v>12745.867924528306</c:v>
                </c:pt>
                <c:pt idx="6">
                  <c:v>12474.679245283023</c:v>
                </c:pt>
                <c:pt idx="7">
                  <c:v>12203.490566037741</c:v>
                </c:pt>
                <c:pt idx="8">
                  <c:v>11932.301886792458</c:v>
                </c:pt>
                <c:pt idx="9">
                  <c:v>11661.113207547176</c:v>
                </c:pt>
                <c:pt idx="10">
                  <c:v>11389.924528301894</c:v>
                </c:pt>
                <c:pt idx="11">
                  <c:v>11118.735849056611</c:v>
                </c:pt>
                <c:pt idx="12">
                  <c:v>10847.547169811329</c:v>
                </c:pt>
                <c:pt idx="13">
                  <c:v>10576.358490566046</c:v>
                </c:pt>
                <c:pt idx="14">
                  <c:v>10305.169811320764</c:v>
                </c:pt>
                <c:pt idx="15">
                  <c:v>10033.981132075482</c:v>
                </c:pt>
                <c:pt idx="16">
                  <c:v>9762.7924528301992</c:v>
                </c:pt>
                <c:pt idx="17">
                  <c:v>9491.6037735849168</c:v>
                </c:pt>
                <c:pt idx="18">
                  <c:v>9220.4150943396344</c:v>
                </c:pt>
                <c:pt idx="19">
                  <c:v>8949.226415094352</c:v>
                </c:pt>
                <c:pt idx="20">
                  <c:v>8678.0377358490696</c:v>
                </c:pt>
                <c:pt idx="21">
                  <c:v>8406.8490566037872</c:v>
                </c:pt>
                <c:pt idx="22">
                  <c:v>8135.6603773585039</c:v>
                </c:pt>
                <c:pt idx="23">
                  <c:v>7864.4716981132206</c:v>
                </c:pt>
                <c:pt idx="24">
                  <c:v>7593.2830188679372</c:v>
                </c:pt>
                <c:pt idx="25">
                  <c:v>7322.0943396226539</c:v>
                </c:pt>
                <c:pt idx="26">
                  <c:v>7050.9056603773706</c:v>
                </c:pt>
                <c:pt idx="27">
                  <c:v>6779.7169811320873</c:v>
                </c:pt>
                <c:pt idx="28">
                  <c:v>6508.528301886804</c:v>
                </c:pt>
                <c:pt idx="29">
                  <c:v>6237.3396226415207</c:v>
                </c:pt>
                <c:pt idx="30">
                  <c:v>5966.1509433962374</c:v>
                </c:pt>
                <c:pt idx="31">
                  <c:v>5694.9622641509541</c:v>
                </c:pt>
                <c:pt idx="32">
                  <c:v>5423.7735849056708</c:v>
                </c:pt>
                <c:pt idx="33">
                  <c:v>5152.5849056603874</c:v>
                </c:pt>
                <c:pt idx="34">
                  <c:v>4881.3962264151041</c:v>
                </c:pt>
                <c:pt idx="35">
                  <c:v>4610.2075471698208</c:v>
                </c:pt>
                <c:pt idx="36">
                  <c:v>4339.0188679245375</c:v>
                </c:pt>
                <c:pt idx="37">
                  <c:v>4067.8301886792547</c:v>
                </c:pt>
                <c:pt idx="38">
                  <c:v>3796.6415094339718</c:v>
                </c:pt>
                <c:pt idx="39">
                  <c:v>3525.4528301886889</c:v>
                </c:pt>
                <c:pt idx="40">
                  <c:v>3254.2641509434061</c:v>
                </c:pt>
                <c:pt idx="41">
                  <c:v>2983.0754716981232</c:v>
                </c:pt>
                <c:pt idx="42">
                  <c:v>2711.8867924528404</c:v>
                </c:pt>
                <c:pt idx="43">
                  <c:v>2440.6981132075575</c:v>
                </c:pt>
                <c:pt idx="44">
                  <c:v>2169.5094339622747</c:v>
                </c:pt>
                <c:pt idx="45">
                  <c:v>1898.3207547169916</c:v>
                </c:pt>
                <c:pt idx="46">
                  <c:v>1627.1320754717085</c:v>
                </c:pt>
                <c:pt idx="47">
                  <c:v>1355.9433962264254</c:v>
                </c:pt>
                <c:pt idx="48">
                  <c:v>1084.7547169811423</c:v>
                </c:pt>
                <c:pt idx="49">
                  <c:v>813.56603773585925</c:v>
                </c:pt>
                <c:pt idx="50">
                  <c:v>542.37735849057617</c:v>
                </c:pt>
                <c:pt idx="51">
                  <c:v>271.18867924529314</c:v>
                </c:pt>
                <c:pt idx="52">
                  <c:v>1.0118128557223827E-11</c:v>
                </c:pt>
              </c:numCache>
            </c:numRef>
          </c:val>
          <c:smooth val="0"/>
          <c:extLst>
            <c:ext xmlns:c16="http://schemas.microsoft.com/office/drawing/2014/chart" uri="{C3380CC4-5D6E-409C-BE32-E72D297353CC}">
              <c16:uniqueId val="{00000005-0074-4E65-9A47-2B374EB77510}"/>
            </c:ext>
          </c:extLst>
        </c:ser>
        <c:ser>
          <c:idx val="6"/>
          <c:order val="6"/>
          <c:tx>
            <c:strRef>
              <c:f>Ressourceneinsatz!$C$45</c:f>
              <c:strCache>
                <c:ptCount val="1"/>
                <c:pt idx="0">
                  <c:v>Budget Rest</c:v>
                </c:pt>
              </c:strCache>
            </c:strRef>
          </c:tx>
          <c:spPr>
            <a:ln w="19050" cap="rnd" cmpd="sng" algn="ctr">
              <a:solidFill>
                <a:srgbClr val="ED7D31">
                  <a:lumMod val="100000"/>
                </a:srgbClr>
              </a:solidFill>
              <a:prstDash val="solid"/>
              <a:round/>
              <a:headEnd type="none" w="med" len="med"/>
              <a:tailEnd type="none" w="med" len="med"/>
            </a:ln>
            <a:effectLst/>
          </c:spPr>
          <c:marker>
            <c:symbol val="none"/>
          </c:marker>
          <c:cat>
            <c:strRef>
              <c:f>Ressourceneinsatz!$E$4:$BE$4</c:f>
              <c:strCache>
                <c:ptCount val="53"/>
                <c:pt idx="0">
                  <c:v>KW22</c:v>
                </c:pt>
                <c:pt idx="1">
                  <c:v>KW23</c:v>
                </c:pt>
                <c:pt idx="2">
                  <c:v>KW24</c:v>
                </c:pt>
                <c:pt idx="3">
                  <c:v>KW25</c:v>
                </c:pt>
                <c:pt idx="4">
                  <c:v>KW26</c:v>
                </c:pt>
                <c:pt idx="5">
                  <c:v>KW27</c:v>
                </c:pt>
                <c:pt idx="6">
                  <c:v>KW28</c:v>
                </c:pt>
                <c:pt idx="7">
                  <c:v>KW29</c:v>
                </c:pt>
                <c:pt idx="8">
                  <c:v>KW30</c:v>
                </c:pt>
                <c:pt idx="9">
                  <c:v>KW31</c:v>
                </c:pt>
                <c:pt idx="10">
                  <c:v>KW32</c:v>
                </c:pt>
                <c:pt idx="11">
                  <c:v>KW33</c:v>
                </c:pt>
                <c:pt idx="12">
                  <c:v>KW34</c:v>
                </c:pt>
                <c:pt idx="13">
                  <c:v>KW35</c:v>
                </c:pt>
                <c:pt idx="14">
                  <c:v>KW36</c:v>
                </c:pt>
                <c:pt idx="15">
                  <c:v>KW37</c:v>
                </c:pt>
                <c:pt idx="16">
                  <c:v>KW38</c:v>
                </c:pt>
                <c:pt idx="17">
                  <c:v>KW39</c:v>
                </c:pt>
                <c:pt idx="18">
                  <c:v>KW40</c:v>
                </c:pt>
                <c:pt idx="19">
                  <c:v>KW41</c:v>
                </c:pt>
                <c:pt idx="20">
                  <c:v>KW42</c:v>
                </c:pt>
                <c:pt idx="21">
                  <c:v>KW43</c:v>
                </c:pt>
                <c:pt idx="22">
                  <c:v>KW44</c:v>
                </c:pt>
                <c:pt idx="23">
                  <c:v>KW45</c:v>
                </c:pt>
                <c:pt idx="24">
                  <c:v>KW46</c:v>
                </c:pt>
                <c:pt idx="25">
                  <c:v>KW47</c:v>
                </c:pt>
                <c:pt idx="26">
                  <c:v>KW48</c:v>
                </c:pt>
                <c:pt idx="27">
                  <c:v>KW49</c:v>
                </c:pt>
                <c:pt idx="28">
                  <c:v>KW50</c:v>
                </c:pt>
                <c:pt idx="29">
                  <c:v>KW51</c:v>
                </c:pt>
                <c:pt idx="30">
                  <c:v>KW52</c:v>
                </c:pt>
                <c:pt idx="31">
                  <c:v>KW1</c:v>
                </c:pt>
                <c:pt idx="32">
                  <c:v>KW2</c:v>
                </c:pt>
                <c:pt idx="33">
                  <c:v>KW3</c:v>
                </c:pt>
                <c:pt idx="34">
                  <c:v>KW4</c:v>
                </c:pt>
                <c:pt idx="35">
                  <c:v>KW5</c:v>
                </c:pt>
                <c:pt idx="36">
                  <c:v>KW6</c:v>
                </c:pt>
                <c:pt idx="37">
                  <c:v>KW7</c:v>
                </c:pt>
                <c:pt idx="38">
                  <c:v>KW8</c:v>
                </c:pt>
                <c:pt idx="39">
                  <c:v>KW9</c:v>
                </c:pt>
                <c:pt idx="40">
                  <c:v>KW10</c:v>
                </c:pt>
                <c:pt idx="41">
                  <c:v>KW11</c:v>
                </c:pt>
                <c:pt idx="42">
                  <c:v>KW12</c:v>
                </c:pt>
                <c:pt idx="43">
                  <c:v>KW13</c:v>
                </c:pt>
                <c:pt idx="44">
                  <c:v>KW14</c:v>
                </c:pt>
                <c:pt idx="45">
                  <c:v>KW15</c:v>
                </c:pt>
                <c:pt idx="46">
                  <c:v>KW16</c:v>
                </c:pt>
                <c:pt idx="47">
                  <c:v>KW17</c:v>
                </c:pt>
                <c:pt idx="48">
                  <c:v>KW18</c:v>
                </c:pt>
                <c:pt idx="49">
                  <c:v>KW19</c:v>
                </c:pt>
                <c:pt idx="50">
                  <c:v>KW20</c:v>
                </c:pt>
                <c:pt idx="51">
                  <c:v>KW21</c:v>
                </c:pt>
                <c:pt idx="52">
                  <c:v>KW22</c:v>
                </c:pt>
              </c:strCache>
            </c:strRef>
          </c:cat>
          <c:val>
            <c:numRef>
              <c:f>Ressourceneinsatz!$E$45:$BE$45</c:f>
              <c:numCache>
                <c:formatCode>0.0</c:formatCode>
                <c:ptCount val="53"/>
                <c:pt idx="0">
                  <c:v>14360.75</c:v>
                </c:pt>
                <c:pt idx="1">
                  <c:v>14143.75</c:v>
                </c:pt>
                <c:pt idx="2">
                  <c:v>13790.5</c:v>
                </c:pt>
                <c:pt idx="3">
                  <c:v>13419.5</c:v>
                </c:pt>
                <c:pt idx="4">
                  <c:v>13137.75</c:v>
                </c:pt>
                <c:pt idx="5">
                  <c:v>12811.5</c:v>
                </c:pt>
                <c:pt idx="6">
                  <c:v>12422.5</c:v>
                </c:pt>
                <c:pt idx="7">
                  <c:v>12005.25</c:v>
                </c:pt>
                <c:pt idx="8">
                  <c:v>11596.25</c:v>
                </c:pt>
                <c:pt idx="9">
                  <c:v>11262.25</c:v>
                </c:pt>
                <c:pt idx="10">
                  <c:v>10876.25</c:v>
                </c:pt>
                <c:pt idx="11">
                  <c:v>10409.25</c:v>
                </c:pt>
                <c:pt idx="12">
                  <c:v>9995.75</c:v>
                </c:pt>
                <c:pt idx="13">
                  <c:v>9552</c:v>
                </c:pt>
                <c:pt idx="14">
                  <c:v>9171</c:v>
                </c:pt>
                <c:pt idx="15">
                  <c:v>8716</c:v>
                </c:pt>
                <c:pt idx="16">
                  <c:v>8423.75</c:v>
                </c:pt>
                <c:pt idx="17">
                  <c:v>8049.83</c:v>
                </c:pt>
                <c:pt idx="18">
                  <c:v>7852.48</c:v>
                </c:pt>
              </c:numCache>
            </c:numRef>
          </c:val>
          <c:smooth val="0"/>
          <c:extLst>
            <c:ext xmlns:c16="http://schemas.microsoft.com/office/drawing/2014/chart" uri="{C3380CC4-5D6E-409C-BE32-E72D297353CC}">
              <c16:uniqueId val="{00000006-0074-4E65-9A47-2B374EB77510}"/>
            </c:ext>
          </c:extLst>
        </c:ser>
        <c:ser>
          <c:idx val="7"/>
          <c:order val="7"/>
          <c:tx>
            <c:strRef>
              <c:f>Ressourceneinsatz!$C$46</c:f>
              <c:strCache>
                <c:ptCount val="1"/>
                <c:pt idx="0">
                  <c:v>Prognose</c:v>
                </c:pt>
              </c:strCache>
            </c:strRef>
          </c:tx>
          <c:spPr>
            <a:ln w="19050" cap="rnd">
              <a:solidFill>
                <a:srgbClr val="ED7D31"/>
              </a:solidFill>
              <a:prstDash val="dash"/>
              <a:round/>
            </a:ln>
            <a:effectLst/>
          </c:spPr>
          <c:marker>
            <c:symbol val="none"/>
          </c:marker>
          <c:cat>
            <c:strRef>
              <c:f>Ressourceneinsatz!$E$4:$BE$4</c:f>
              <c:strCache>
                <c:ptCount val="53"/>
                <c:pt idx="0">
                  <c:v>KW22</c:v>
                </c:pt>
                <c:pt idx="1">
                  <c:v>KW23</c:v>
                </c:pt>
                <c:pt idx="2">
                  <c:v>KW24</c:v>
                </c:pt>
                <c:pt idx="3">
                  <c:v>KW25</c:v>
                </c:pt>
                <c:pt idx="4">
                  <c:v>KW26</c:v>
                </c:pt>
                <c:pt idx="5">
                  <c:v>KW27</c:v>
                </c:pt>
                <c:pt idx="6">
                  <c:v>KW28</c:v>
                </c:pt>
                <c:pt idx="7">
                  <c:v>KW29</c:v>
                </c:pt>
                <c:pt idx="8">
                  <c:v>KW30</c:v>
                </c:pt>
                <c:pt idx="9">
                  <c:v>KW31</c:v>
                </c:pt>
                <c:pt idx="10">
                  <c:v>KW32</c:v>
                </c:pt>
                <c:pt idx="11">
                  <c:v>KW33</c:v>
                </c:pt>
                <c:pt idx="12">
                  <c:v>KW34</c:v>
                </c:pt>
                <c:pt idx="13">
                  <c:v>KW35</c:v>
                </c:pt>
                <c:pt idx="14">
                  <c:v>KW36</c:v>
                </c:pt>
                <c:pt idx="15">
                  <c:v>KW37</c:v>
                </c:pt>
                <c:pt idx="16">
                  <c:v>KW38</c:v>
                </c:pt>
                <c:pt idx="17">
                  <c:v>KW39</c:v>
                </c:pt>
                <c:pt idx="18">
                  <c:v>KW40</c:v>
                </c:pt>
                <c:pt idx="19">
                  <c:v>KW41</c:v>
                </c:pt>
                <c:pt idx="20">
                  <c:v>KW42</c:v>
                </c:pt>
                <c:pt idx="21">
                  <c:v>KW43</c:v>
                </c:pt>
                <c:pt idx="22">
                  <c:v>KW44</c:v>
                </c:pt>
                <c:pt idx="23">
                  <c:v>KW45</c:v>
                </c:pt>
                <c:pt idx="24">
                  <c:v>KW46</c:v>
                </c:pt>
                <c:pt idx="25">
                  <c:v>KW47</c:v>
                </c:pt>
                <c:pt idx="26">
                  <c:v>KW48</c:v>
                </c:pt>
                <c:pt idx="27">
                  <c:v>KW49</c:v>
                </c:pt>
                <c:pt idx="28">
                  <c:v>KW50</c:v>
                </c:pt>
                <c:pt idx="29">
                  <c:v>KW51</c:v>
                </c:pt>
                <c:pt idx="30">
                  <c:v>KW52</c:v>
                </c:pt>
                <c:pt idx="31">
                  <c:v>KW1</c:v>
                </c:pt>
                <c:pt idx="32">
                  <c:v>KW2</c:v>
                </c:pt>
                <c:pt idx="33">
                  <c:v>KW3</c:v>
                </c:pt>
                <c:pt idx="34">
                  <c:v>KW4</c:v>
                </c:pt>
                <c:pt idx="35">
                  <c:v>KW5</c:v>
                </c:pt>
                <c:pt idx="36">
                  <c:v>KW6</c:v>
                </c:pt>
                <c:pt idx="37">
                  <c:v>KW7</c:v>
                </c:pt>
                <c:pt idx="38">
                  <c:v>KW8</c:v>
                </c:pt>
                <c:pt idx="39">
                  <c:v>KW9</c:v>
                </c:pt>
                <c:pt idx="40">
                  <c:v>KW10</c:v>
                </c:pt>
                <c:pt idx="41">
                  <c:v>KW11</c:v>
                </c:pt>
                <c:pt idx="42">
                  <c:v>KW12</c:v>
                </c:pt>
                <c:pt idx="43">
                  <c:v>KW13</c:v>
                </c:pt>
                <c:pt idx="44">
                  <c:v>KW14</c:v>
                </c:pt>
                <c:pt idx="45">
                  <c:v>KW15</c:v>
                </c:pt>
                <c:pt idx="46">
                  <c:v>KW16</c:v>
                </c:pt>
                <c:pt idx="47">
                  <c:v>KW17</c:v>
                </c:pt>
                <c:pt idx="48">
                  <c:v>KW18</c:v>
                </c:pt>
                <c:pt idx="49">
                  <c:v>KW19</c:v>
                </c:pt>
                <c:pt idx="50">
                  <c:v>KW20</c:v>
                </c:pt>
                <c:pt idx="51">
                  <c:v>KW21</c:v>
                </c:pt>
                <c:pt idx="52">
                  <c:v>KW22</c:v>
                </c:pt>
              </c:strCache>
            </c:strRef>
          </c:cat>
          <c:val>
            <c:numRef>
              <c:f>Ressourceneinsatz!$E$46:$BE$46</c:f>
              <c:numCache>
                <c:formatCode>General</c:formatCode>
                <c:ptCount val="53"/>
                <c:pt idx="18" formatCode="0.0">
                  <c:v>7852.48</c:v>
                </c:pt>
                <c:pt idx="19">
                  <c:v>7509.2947368421046</c:v>
                </c:pt>
                <c:pt idx="20">
                  <c:v>7166.1094736842097</c:v>
                </c:pt>
                <c:pt idx="21">
                  <c:v>6822.9242105263147</c:v>
                </c:pt>
                <c:pt idx="22">
                  <c:v>6479.7389473684198</c:v>
                </c:pt>
                <c:pt idx="23">
                  <c:v>6136.5536842105248</c:v>
                </c:pt>
                <c:pt idx="24">
                  <c:v>5793.3684210526299</c:v>
                </c:pt>
                <c:pt idx="25">
                  <c:v>5450.1831578947349</c:v>
                </c:pt>
                <c:pt idx="26">
                  <c:v>5106.99789473684</c:v>
                </c:pt>
                <c:pt idx="27">
                  <c:v>4763.812631578945</c:v>
                </c:pt>
                <c:pt idx="28">
                  <c:v>4420.6273684210501</c:v>
                </c:pt>
                <c:pt idx="29">
                  <c:v>4077.4421052631551</c:v>
                </c:pt>
                <c:pt idx="30">
                  <c:v>3734.2568421052601</c:v>
                </c:pt>
                <c:pt idx="31">
                  <c:v>3391.0715789473652</c:v>
                </c:pt>
                <c:pt idx="32">
                  <c:v>3047.8863157894702</c:v>
                </c:pt>
                <c:pt idx="33">
                  <c:v>2704.7010526315753</c:v>
                </c:pt>
                <c:pt idx="34">
                  <c:v>2361.5157894736803</c:v>
                </c:pt>
                <c:pt idx="35">
                  <c:v>2018.3305263157856</c:v>
                </c:pt>
                <c:pt idx="36">
                  <c:v>1675.1452631578909</c:v>
                </c:pt>
                <c:pt idx="37">
                  <c:v>1331.9599999999962</c:v>
                </c:pt>
                <c:pt idx="38">
                  <c:v>988.77473684210145</c:v>
                </c:pt>
                <c:pt idx="39">
                  <c:v>645.58947368420672</c:v>
                </c:pt>
                <c:pt idx="40">
                  <c:v>302.40421052631194</c:v>
                </c:pt>
                <c:pt idx="41">
                  <c:v>-40.781052631582838</c:v>
                </c:pt>
                <c:pt idx="42">
                  <c:v>-383.96631578947762</c:v>
                </c:pt>
              </c:numCache>
            </c:numRef>
          </c:val>
          <c:smooth val="0"/>
          <c:extLst>
            <c:ext xmlns:c16="http://schemas.microsoft.com/office/drawing/2014/chart" uri="{C3380CC4-5D6E-409C-BE32-E72D297353CC}">
              <c16:uniqueId val="{00000000-2CDB-42C9-A193-2037B9F3E548}"/>
            </c:ext>
          </c:extLst>
        </c:ser>
        <c:ser>
          <c:idx val="8"/>
          <c:order val="8"/>
          <c:tx>
            <c:strRef>
              <c:f>Ressourceneinsatz!$C$47</c:f>
              <c:strCache>
                <c:ptCount val="1"/>
                <c:pt idx="0">
                  <c:v>Prognose (letzte 4 KW)</c:v>
                </c:pt>
              </c:strCache>
            </c:strRef>
          </c:tx>
          <c:spPr>
            <a:ln w="19050" cap="rnd">
              <a:solidFill>
                <a:srgbClr val="ED7D31"/>
              </a:solidFill>
              <a:prstDash val="sysDot"/>
              <a:round/>
            </a:ln>
            <a:effectLst/>
          </c:spPr>
          <c:marker>
            <c:symbol val="none"/>
          </c:marker>
          <c:cat>
            <c:strRef>
              <c:f>Ressourceneinsatz!$E$4:$BE$4</c:f>
              <c:strCache>
                <c:ptCount val="53"/>
                <c:pt idx="0">
                  <c:v>KW22</c:v>
                </c:pt>
                <c:pt idx="1">
                  <c:v>KW23</c:v>
                </c:pt>
                <c:pt idx="2">
                  <c:v>KW24</c:v>
                </c:pt>
                <c:pt idx="3">
                  <c:v>KW25</c:v>
                </c:pt>
                <c:pt idx="4">
                  <c:v>KW26</c:v>
                </c:pt>
                <c:pt idx="5">
                  <c:v>KW27</c:v>
                </c:pt>
                <c:pt idx="6">
                  <c:v>KW28</c:v>
                </c:pt>
                <c:pt idx="7">
                  <c:v>KW29</c:v>
                </c:pt>
                <c:pt idx="8">
                  <c:v>KW30</c:v>
                </c:pt>
                <c:pt idx="9">
                  <c:v>KW31</c:v>
                </c:pt>
                <c:pt idx="10">
                  <c:v>KW32</c:v>
                </c:pt>
                <c:pt idx="11">
                  <c:v>KW33</c:v>
                </c:pt>
                <c:pt idx="12">
                  <c:v>KW34</c:v>
                </c:pt>
                <c:pt idx="13">
                  <c:v>KW35</c:v>
                </c:pt>
                <c:pt idx="14">
                  <c:v>KW36</c:v>
                </c:pt>
                <c:pt idx="15">
                  <c:v>KW37</c:v>
                </c:pt>
                <c:pt idx="16">
                  <c:v>KW38</c:v>
                </c:pt>
                <c:pt idx="17">
                  <c:v>KW39</c:v>
                </c:pt>
                <c:pt idx="18">
                  <c:v>KW40</c:v>
                </c:pt>
                <c:pt idx="19">
                  <c:v>KW41</c:v>
                </c:pt>
                <c:pt idx="20">
                  <c:v>KW42</c:v>
                </c:pt>
                <c:pt idx="21">
                  <c:v>KW43</c:v>
                </c:pt>
                <c:pt idx="22">
                  <c:v>KW44</c:v>
                </c:pt>
                <c:pt idx="23">
                  <c:v>KW45</c:v>
                </c:pt>
                <c:pt idx="24">
                  <c:v>KW46</c:v>
                </c:pt>
                <c:pt idx="25">
                  <c:v>KW47</c:v>
                </c:pt>
                <c:pt idx="26">
                  <c:v>KW48</c:v>
                </c:pt>
                <c:pt idx="27">
                  <c:v>KW49</c:v>
                </c:pt>
                <c:pt idx="28">
                  <c:v>KW50</c:v>
                </c:pt>
                <c:pt idx="29">
                  <c:v>KW51</c:v>
                </c:pt>
                <c:pt idx="30">
                  <c:v>KW52</c:v>
                </c:pt>
                <c:pt idx="31">
                  <c:v>KW1</c:v>
                </c:pt>
                <c:pt idx="32">
                  <c:v>KW2</c:v>
                </c:pt>
                <c:pt idx="33">
                  <c:v>KW3</c:v>
                </c:pt>
                <c:pt idx="34">
                  <c:v>KW4</c:v>
                </c:pt>
                <c:pt idx="35">
                  <c:v>KW5</c:v>
                </c:pt>
                <c:pt idx="36">
                  <c:v>KW6</c:v>
                </c:pt>
                <c:pt idx="37">
                  <c:v>KW7</c:v>
                </c:pt>
                <c:pt idx="38">
                  <c:v>KW8</c:v>
                </c:pt>
                <c:pt idx="39">
                  <c:v>KW9</c:v>
                </c:pt>
                <c:pt idx="40">
                  <c:v>KW10</c:v>
                </c:pt>
                <c:pt idx="41">
                  <c:v>KW11</c:v>
                </c:pt>
                <c:pt idx="42">
                  <c:v>KW12</c:v>
                </c:pt>
                <c:pt idx="43">
                  <c:v>KW13</c:v>
                </c:pt>
                <c:pt idx="44">
                  <c:v>KW14</c:v>
                </c:pt>
                <c:pt idx="45">
                  <c:v>KW15</c:v>
                </c:pt>
                <c:pt idx="46">
                  <c:v>KW16</c:v>
                </c:pt>
                <c:pt idx="47">
                  <c:v>KW17</c:v>
                </c:pt>
                <c:pt idx="48">
                  <c:v>KW18</c:v>
                </c:pt>
                <c:pt idx="49">
                  <c:v>KW19</c:v>
                </c:pt>
                <c:pt idx="50">
                  <c:v>KW20</c:v>
                </c:pt>
                <c:pt idx="51">
                  <c:v>KW21</c:v>
                </c:pt>
                <c:pt idx="52">
                  <c:v>KW22</c:v>
                </c:pt>
              </c:strCache>
            </c:strRef>
          </c:cat>
          <c:val>
            <c:numRef>
              <c:f>Ressourceneinsatz!$E$47:$BE$47</c:f>
              <c:numCache>
                <c:formatCode>General</c:formatCode>
                <c:ptCount val="53"/>
                <c:pt idx="18" formatCode="0.0">
                  <c:v>7852.48</c:v>
                </c:pt>
                <c:pt idx="19">
                  <c:v>7522.8499999999995</c:v>
                </c:pt>
                <c:pt idx="20">
                  <c:v>7193.2199999999993</c:v>
                </c:pt>
                <c:pt idx="21">
                  <c:v>6863.5899999999992</c:v>
                </c:pt>
                <c:pt idx="22">
                  <c:v>6533.9599999999991</c:v>
                </c:pt>
                <c:pt idx="23">
                  <c:v>6204.329999999999</c:v>
                </c:pt>
                <c:pt idx="24">
                  <c:v>5874.6999999999989</c:v>
                </c:pt>
                <c:pt idx="25">
                  <c:v>5545.0699999999988</c:v>
                </c:pt>
                <c:pt idx="26">
                  <c:v>5215.4399999999987</c:v>
                </c:pt>
                <c:pt idx="27">
                  <c:v>4885.8099999999986</c:v>
                </c:pt>
                <c:pt idx="28">
                  <c:v>4556.1799999999985</c:v>
                </c:pt>
                <c:pt idx="29">
                  <c:v>4226.5499999999984</c:v>
                </c:pt>
                <c:pt idx="30">
                  <c:v>3896.9199999999983</c:v>
                </c:pt>
                <c:pt idx="31">
                  <c:v>3567.2899999999981</c:v>
                </c:pt>
                <c:pt idx="32">
                  <c:v>3237.659999999998</c:v>
                </c:pt>
                <c:pt idx="33">
                  <c:v>2908.0299999999979</c:v>
                </c:pt>
                <c:pt idx="34">
                  <c:v>2578.3999999999978</c:v>
                </c:pt>
                <c:pt idx="35">
                  <c:v>2248.7699999999977</c:v>
                </c:pt>
                <c:pt idx="36">
                  <c:v>1919.1399999999978</c:v>
                </c:pt>
                <c:pt idx="37">
                  <c:v>1589.5099999999979</c:v>
                </c:pt>
                <c:pt idx="38">
                  <c:v>1259.8799999999981</c:v>
                </c:pt>
                <c:pt idx="39">
                  <c:v>930.24999999999818</c:v>
                </c:pt>
                <c:pt idx="40">
                  <c:v>600.6199999999983</c:v>
                </c:pt>
                <c:pt idx="41">
                  <c:v>270.98999999999836</c:v>
                </c:pt>
                <c:pt idx="42">
                  <c:v>-58.640000000001578</c:v>
                </c:pt>
              </c:numCache>
            </c:numRef>
          </c:val>
          <c:smooth val="0"/>
          <c:extLst>
            <c:ext xmlns:c16="http://schemas.microsoft.com/office/drawing/2014/chart" uri="{C3380CC4-5D6E-409C-BE32-E72D297353CC}">
              <c16:uniqueId val="{00000001-2CDB-42C9-A193-2037B9F3E548}"/>
            </c:ext>
          </c:extLst>
        </c:ser>
        <c:dLbls>
          <c:showLegendKey val="0"/>
          <c:showVal val="0"/>
          <c:showCatName val="0"/>
          <c:showSerName val="0"/>
          <c:showPercent val="0"/>
          <c:showBubbleSize val="0"/>
        </c:dLbls>
        <c:marker val="1"/>
        <c:smooth val="0"/>
        <c:axId val="960752312"/>
        <c:axId val="960749032"/>
      </c:lineChart>
      <c:dateAx>
        <c:axId val="960752312"/>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60749032"/>
        <c:crosses val="autoZero"/>
        <c:auto val="0"/>
        <c:lblOffset val="100"/>
        <c:baseTimeUnit val="days"/>
        <c:minorUnit val="1"/>
      </c:dateAx>
      <c:valAx>
        <c:axId val="96074903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Stunden</a:t>
                </a:r>
              </a:p>
            </c:rich>
          </c:tx>
          <c:layout>
            <c:manualLayout>
              <c:xMode val="edge"/>
              <c:yMode val="edge"/>
              <c:x val="2.0135359900306186E-2"/>
              <c:y val="2.0489619006771542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60752312"/>
        <c:crosses val="autoZero"/>
        <c:crossBetween val="between"/>
      </c:valAx>
      <c:valAx>
        <c:axId val="1045464256"/>
        <c:scaling>
          <c:orientation val="minMax"/>
        </c:scaling>
        <c:delete val="0"/>
        <c:axPos val="r"/>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FTE</a:t>
                </a:r>
              </a:p>
            </c:rich>
          </c:tx>
          <c:layout>
            <c:manualLayout>
              <c:xMode val="edge"/>
              <c:yMode val="edge"/>
              <c:x val="0.95346568840677781"/>
              <c:y val="2.233543897304972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045454416"/>
        <c:crosses val="max"/>
        <c:crossBetween val="between"/>
      </c:valAx>
      <c:catAx>
        <c:axId val="1045454416"/>
        <c:scaling>
          <c:orientation val="minMax"/>
        </c:scaling>
        <c:delete val="1"/>
        <c:axPos val="b"/>
        <c:numFmt formatCode="General" sourceLinked="1"/>
        <c:majorTickMark val="out"/>
        <c:minorTickMark val="none"/>
        <c:tickLblPos val="nextTo"/>
        <c:crossAx val="1045464256"/>
        <c:crosses val="autoZero"/>
        <c:auto val="1"/>
        <c:lblAlgn val="ctr"/>
        <c:lblOffset val="100"/>
        <c:noMultiLvlLbl val="0"/>
      </c:catAx>
      <c:spPr>
        <a:noFill/>
        <a:ln>
          <a:noFill/>
        </a:ln>
        <a:effectLst/>
      </c:spPr>
    </c:plotArea>
    <c:legend>
      <c:legendPos val="b"/>
      <c:layout>
        <c:manualLayout>
          <c:xMode val="edge"/>
          <c:yMode val="edge"/>
          <c:x val="5.4653119729402504E-2"/>
          <c:y val="0.90540129070777897"/>
          <c:w val="0.89596100308519455"/>
          <c:h val="9.459865014143503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Budget Ampel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barChart>
        <c:barDir val="col"/>
        <c:grouping val="clustered"/>
        <c:varyColors val="0"/>
        <c:ser>
          <c:idx val="0"/>
          <c:order val="0"/>
          <c:tx>
            <c:strRef>
              <c:f>Pos_Hilfstabelle!$D$109</c:f>
              <c:strCache>
                <c:ptCount val="1"/>
                <c:pt idx="0">
                  <c:v>Unterpositionen</c:v>
                </c:pt>
              </c:strCache>
            </c:strRef>
          </c:tx>
          <c:spPr>
            <a:solidFill>
              <a:schemeClr val="accent1"/>
            </a:solidFill>
            <a:ln>
              <a:noFill/>
            </a:ln>
            <a:effectLst/>
          </c:spPr>
          <c:invertIfNegative val="0"/>
          <c:dPt>
            <c:idx val="0"/>
            <c:invertIfNegative val="0"/>
            <c:bubble3D val="0"/>
            <c:spPr>
              <a:solidFill>
                <a:schemeClr val="accent6">
                  <a:lumMod val="60000"/>
                  <a:lumOff val="40000"/>
                </a:schemeClr>
              </a:solidFill>
              <a:ln>
                <a:solidFill>
                  <a:schemeClr val="accent6">
                    <a:lumMod val="75000"/>
                  </a:schemeClr>
                </a:solidFill>
              </a:ln>
              <a:effectLst/>
            </c:spPr>
            <c:extLst>
              <c:ext xmlns:c16="http://schemas.microsoft.com/office/drawing/2014/chart" uri="{C3380CC4-5D6E-409C-BE32-E72D297353CC}">
                <c16:uniqueId val="{00000001-91FF-4D49-BEDF-8C41CDA87955}"/>
              </c:ext>
            </c:extLst>
          </c:dPt>
          <c:dPt>
            <c:idx val="1"/>
            <c:invertIfNegative val="0"/>
            <c:bubble3D val="0"/>
            <c:spPr>
              <a:solidFill>
                <a:schemeClr val="accent4">
                  <a:lumMod val="60000"/>
                  <a:lumOff val="40000"/>
                </a:schemeClr>
              </a:solidFill>
              <a:ln>
                <a:solidFill>
                  <a:schemeClr val="accent4">
                    <a:lumMod val="75000"/>
                  </a:schemeClr>
                </a:solidFill>
              </a:ln>
              <a:effectLst/>
            </c:spPr>
            <c:extLst>
              <c:ext xmlns:c16="http://schemas.microsoft.com/office/drawing/2014/chart" uri="{C3380CC4-5D6E-409C-BE32-E72D297353CC}">
                <c16:uniqueId val="{00000003-91FF-4D49-BEDF-8C41CDA87955}"/>
              </c:ext>
            </c:extLst>
          </c:dPt>
          <c:dPt>
            <c:idx val="2"/>
            <c:invertIfNegative val="0"/>
            <c:bubble3D val="0"/>
            <c:spPr>
              <a:solidFill>
                <a:srgbClr val="F69382"/>
              </a:solidFill>
              <a:ln>
                <a:solidFill>
                  <a:srgbClr val="9C0006"/>
                </a:solidFill>
              </a:ln>
              <a:effectLst/>
            </c:spPr>
            <c:extLst>
              <c:ext xmlns:c16="http://schemas.microsoft.com/office/drawing/2014/chart" uri="{C3380CC4-5D6E-409C-BE32-E72D297353CC}">
                <c16:uniqueId val="{00000005-91FF-4D49-BEDF-8C41CDA87955}"/>
              </c:ext>
            </c:extLst>
          </c:dPt>
          <c:cat>
            <c:strRef>
              <c:f>Pos_Hilfstabelle!$B$110:$B$112</c:f>
              <c:strCache>
                <c:ptCount val="3"/>
                <c:pt idx="0">
                  <c:v>on track</c:v>
                </c:pt>
                <c:pt idx="1">
                  <c:v>geringe Abweichung</c:v>
                </c:pt>
                <c:pt idx="2">
                  <c:v>Warnstufe</c:v>
                </c:pt>
              </c:strCache>
            </c:strRef>
          </c:cat>
          <c:val>
            <c:numRef>
              <c:f>Pos_Hilfstabelle!$D$110:$D$112</c:f>
              <c:numCache>
                <c:formatCode>General</c:formatCode>
                <c:ptCount val="3"/>
                <c:pt idx="0">
                  <c:v>1</c:v>
                </c:pt>
                <c:pt idx="1">
                  <c:v>0</c:v>
                </c:pt>
                <c:pt idx="2">
                  <c:v>4</c:v>
                </c:pt>
              </c:numCache>
            </c:numRef>
          </c:val>
          <c:extLst>
            <c:ext xmlns:c16="http://schemas.microsoft.com/office/drawing/2014/chart" uri="{C3380CC4-5D6E-409C-BE32-E72D297353CC}">
              <c16:uniqueId val="{00000006-91FF-4D49-BEDF-8C41CDA87955}"/>
            </c:ext>
          </c:extLst>
        </c:ser>
        <c:dLbls>
          <c:showLegendKey val="0"/>
          <c:showVal val="0"/>
          <c:showCatName val="0"/>
          <c:showSerName val="0"/>
          <c:showPercent val="0"/>
          <c:showBubbleSize val="0"/>
        </c:dLbls>
        <c:gapWidth val="219"/>
        <c:overlap val="-27"/>
        <c:axId val="982513592"/>
        <c:axId val="982508192"/>
      </c:barChart>
      <c:catAx>
        <c:axId val="982513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82508192"/>
        <c:crosses val="autoZero"/>
        <c:auto val="1"/>
        <c:lblAlgn val="ctr"/>
        <c:lblOffset val="100"/>
        <c:noMultiLvlLbl val="0"/>
      </c:catAx>
      <c:valAx>
        <c:axId val="9825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82513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Zeit</a:t>
            </a:r>
            <a:r>
              <a:rPr lang="de-DE" baseline="0"/>
              <a:t> Ampel</a:t>
            </a:r>
            <a:endParaRPr lang="de-D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barChart>
        <c:barDir val="col"/>
        <c:grouping val="clustered"/>
        <c:varyColors val="0"/>
        <c:ser>
          <c:idx val="0"/>
          <c:order val="0"/>
          <c:spPr>
            <a:solidFill>
              <a:schemeClr val="accent6">
                <a:lumMod val="60000"/>
                <a:lumOff val="40000"/>
              </a:schemeClr>
            </a:solidFill>
            <a:ln>
              <a:solidFill>
                <a:schemeClr val="accent6">
                  <a:lumMod val="75000"/>
                </a:schemeClr>
              </a:solidFill>
            </a:ln>
            <a:effectLst/>
          </c:spPr>
          <c:invertIfNegative val="0"/>
          <c:dPt>
            <c:idx val="1"/>
            <c:invertIfNegative val="0"/>
            <c:bubble3D val="0"/>
            <c:spPr>
              <a:solidFill>
                <a:schemeClr val="accent4">
                  <a:lumMod val="60000"/>
                  <a:lumOff val="40000"/>
                </a:schemeClr>
              </a:solidFill>
              <a:ln>
                <a:solidFill>
                  <a:schemeClr val="accent4">
                    <a:lumMod val="75000"/>
                  </a:schemeClr>
                </a:solidFill>
              </a:ln>
              <a:effectLst/>
            </c:spPr>
            <c:extLst>
              <c:ext xmlns:c16="http://schemas.microsoft.com/office/drawing/2014/chart" uri="{C3380CC4-5D6E-409C-BE32-E72D297353CC}">
                <c16:uniqueId val="{00000001-3BE5-4EC2-8CA2-C7374195EE04}"/>
              </c:ext>
            </c:extLst>
          </c:dPt>
          <c:dPt>
            <c:idx val="2"/>
            <c:invertIfNegative val="0"/>
            <c:bubble3D val="0"/>
            <c:spPr>
              <a:solidFill>
                <a:srgbClr val="F69382"/>
              </a:solidFill>
              <a:ln>
                <a:solidFill>
                  <a:srgbClr val="9C0006"/>
                </a:solidFill>
              </a:ln>
              <a:effectLst/>
            </c:spPr>
            <c:extLst>
              <c:ext xmlns:c16="http://schemas.microsoft.com/office/drawing/2014/chart" uri="{C3380CC4-5D6E-409C-BE32-E72D297353CC}">
                <c16:uniqueId val="{00000003-3BE5-4EC2-8CA2-C7374195EE04}"/>
              </c:ext>
            </c:extLst>
          </c:dPt>
          <c:cat>
            <c:strRef>
              <c:f>Pos_Hilfstabelle!$B$125:$B$127</c:f>
              <c:strCache>
                <c:ptCount val="3"/>
                <c:pt idx="0">
                  <c:v>on track</c:v>
                </c:pt>
                <c:pt idx="1">
                  <c:v>critical</c:v>
                </c:pt>
                <c:pt idx="2">
                  <c:v>overdue</c:v>
                </c:pt>
              </c:strCache>
            </c:strRef>
          </c:cat>
          <c:val>
            <c:numRef>
              <c:f>Pos_Hilfstabelle!$C$125:$C$127</c:f>
              <c:numCache>
                <c:formatCode>General</c:formatCode>
                <c:ptCount val="3"/>
                <c:pt idx="0">
                  <c:v>1</c:v>
                </c:pt>
                <c:pt idx="1">
                  <c:v>0</c:v>
                </c:pt>
                <c:pt idx="2">
                  <c:v>0</c:v>
                </c:pt>
              </c:numCache>
            </c:numRef>
          </c:val>
          <c:extLst>
            <c:ext xmlns:c16="http://schemas.microsoft.com/office/drawing/2014/chart" uri="{C3380CC4-5D6E-409C-BE32-E72D297353CC}">
              <c16:uniqueId val="{00000004-3BE5-4EC2-8CA2-C7374195EE04}"/>
            </c:ext>
          </c:extLst>
        </c:ser>
        <c:dLbls>
          <c:showLegendKey val="0"/>
          <c:showVal val="0"/>
          <c:showCatName val="0"/>
          <c:showSerName val="0"/>
          <c:showPercent val="0"/>
          <c:showBubbleSize val="0"/>
        </c:dLbls>
        <c:gapWidth val="219"/>
        <c:overlap val="-27"/>
        <c:axId val="619156552"/>
        <c:axId val="619151872"/>
      </c:barChart>
      <c:catAx>
        <c:axId val="619156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19151872"/>
        <c:crosses val="autoZero"/>
        <c:auto val="1"/>
        <c:lblAlgn val="ctr"/>
        <c:lblOffset val="100"/>
        <c:noMultiLvlLbl val="0"/>
      </c:catAx>
      <c:valAx>
        <c:axId val="619151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19156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8</xdr:col>
      <xdr:colOff>1</xdr:colOff>
      <xdr:row>1</xdr:row>
      <xdr:rowOff>0</xdr:rowOff>
    </xdr:from>
    <xdr:to>
      <xdr:col>14</xdr:col>
      <xdr:colOff>0</xdr:colOff>
      <xdr:row>31</xdr:row>
      <xdr:rowOff>0</xdr:rowOff>
    </xdr:to>
    <xdr:graphicFrame macro="">
      <xdr:nvGraphicFramePr>
        <xdr:cNvPr id="2" name="Burndown/Budget">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114300</xdr:colOff>
          <xdr:row>34</xdr:row>
          <xdr:rowOff>247650</xdr:rowOff>
        </xdr:from>
        <xdr:to>
          <xdr:col>9</xdr:col>
          <xdr:colOff>0</xdr:colOff>
          <xdr:row>35</xdr:row>
          <xdr:rowOff>190500</xdr:rowOff>
        </xdr:to>
        <xdr:sp macro="" textlink="">
          <xdr:nvSpPr>
            <xdr:cNvPr id="1035" name="CB_Alle"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35</xdr:row>
          <xdr:rowOff>47625</xdr:rowOff>
        </xdr:from>
        <xdr:to>
          <xdr:col>9</xdr:col>
          <xdr:colOff>1466850</xdr:colOff>
          <xdr:row>35</xdr:row>
          <xdr:rowOff>371475</xdr:rowOff>
        </xdr:to>
        <xdr:sp macro="" textlink="">
          <xdr:nvSpPr>
            <xdr:cNvPr id="1036" name="CB_Abruf"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35</xdr:row>
          <xdr:rowOff>38100</xdr:rowOff>
        </xdr:from>
        <xdr:to>
          <xdr:col>10</xdr:col>
          <xdr:colOff>1771650</xdr:colOff>
          <xdr:row>35</xdr:row>
          <xdr:rowOff>361950</xdr:rowOff>
        </xdr:to>
        <xdr:sp macro="" textlink="">
          <xdr:nvSpPr>
            <xdr:cNvPr id="1037" name="CB_Inkrement"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35</xdr:row>
          <xdr:rowOff>38100</xdr:rowOff>
        </xdr:from>
        <xdr:to>
          <xdr:col>11</xdr:col>
          <xdr:colOff>1866900</xdr:colOff>
          <xdr:row>35</xdr:row>
          <xdr:rowOff>361950</xdr:rowOff>
        </xdr:to>
        <xdr:sp macro="" textlink="">
          <xdr:nvSpPr>
            <xdr:cNvPr id="1038" name="CB_BacklogInk"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34</xdr:row>
          <xdr:rowOff>47625</xdr:rowOff>
        </xdr:from>
        <xdr:to>
          <xdr:col>11</xdr:col>
          <xdr:colOff>1866900</xdr:colOff>
          <xdr:row>34</xdr:row>
          <xdr:rowOff>371475</xdr:rowOff>
        </xdr:to>
        <xdr:sp macro="" textlink="">
          <xdr:nvSpPr>
            <xdr:cNvPr id="1039" name="CB_Backlog"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34</xdr:row>
          <xdr:rowOff>38100</xdr:rowOff>
        </xdr:from>
        <xdr:to>
          <xdr:col>10</xdr:col>
          <xdr:colOff>1781175</xdr:colOff>
          <xdr:row>34</xdr:row>
          <xdr:rowOff>361950</xdr:rowOff>
        </xdr:to>
        <xdr:sp macro="" textlink="">
          <xdr:nvSpPr>
            <xdr:cNvPr id="1040" name="CB_Burndown_Work"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36</xdr:row>
          <xdr:rowOff>38100</xdr:rowOff>
        </xdr:from>
        <xdr:to>
          <xdr:col>9</xdr:col>
          <xdr:colOff>1466850</xdr:colOff>
          <xdr:row>36</xdr:row>
          <xdr:rowOff>361950</xdr:rowOff>
        </xdr:to>
        <xdr:sp macro="" textlink="">
          <xdr:nvSpPr>
            <xdr:cNvPr id="1041" name="CB_Soll"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34</xdr:row>
          <xdr:rowOff>38100</xdr:rowOff>
        </xdr:from>
        <xdr:to>
          <xdr:col>9</xdr:col>
          <xdr:colOff>1466850</xdr:colOff>
          <xdr:row>34</xdr:row>
          <xdr:rowOff>371475</xdr:rowOff>
        </xdr:to>
        <xdr:sp macro="" textlink="">
          <xdr:nvSpPr>
            <xdr:cNvPr id="1042" name="CB_Burndown_Auftrag"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34</xdr:row>
          <xdr:rowOff>76200</xdr:rowOff>
        </xdr:from>
        <xdr:to>
          <xdr:col>13</xdr:col>
          <xdr:colOff>838200</xdr:colOff>
          <xdr:row>35</xdr:row>
          <xdr:rowOff>19050</xdr:rowOff>
        </xdr:to>
        <xdr:sp macro="" textlink="">
          <xdr:nvSpPr>
            <xdr:cNvPr id="1043" name="CB_Prognose"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35</xdr:row>
          <xdr:rowOff>76200</xdr:rowOff>
        </xdr:from>
        <xdr:to>
          <xdr:col>13</xdr:col>
          <xdr:colOff>828675</xdr:colOff>
          <xdr:row>36</xdr:row>
          <xdr:rowOff>19050</xdr:rowOff>
        </xdr:to>
        <xdr:sp macro="" textlink="">
          <xdr:nvSpPr>
            <xdr:cNvPr id="1044" name="CB_Prognose_4KW"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0</xdr:colOff>
      <xdr:row>1</xdr:row>
      <xdr:rowOff>0</xdr:rowOff>
    </xdr:from>
    <xdr:to>
      <xdr:col>16</xdr:col>
      <xdr:colOff>0</xdr:colOff>
      <xdr:row>19</xdr:row>
      <xdr:rowOff>0</xdr:rowOff>
    </xdr:to>
    <xdr:graphicFrame macro="">
      <xdr:nvGraphicFramePr>
        <xdr:cNvPr id="3" name="BudgetAmpel">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20</xdr:row>
      <xdr:rowOff>0</xdr:rowOff>
    </xdr:from>
    <xdr:to>
      <xdr:col>16</xdr:col>
      <xdr:colOff>0</xdr:colOff>
      <xdr:row>31</xdr:row>
      <xdr:rowOff>31377</xdr:rowOff>
    </xdr:to>
    <xdr:graphicFrame macro="">
      <xdr:nvGraphicFramePr>
        <xdr:cNvPr id="4" name="ZeitAmpel">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20B703B-407E-443C-AE73-672CA0F39636}" name="Tab_BudgetAmpelUnterpositionen" displayName="Tab_BudgetAmpelUnterpositionen" ref="E4:H105" totalsRowCount="1" headerRowDxfId="113" dataDxfId="111" headerRowBorderDxfId="112" tableBorderDxfId="110" totalsRowBorderDxfId="109">
  <autoFilter ref="E4:H104" xr:uid="{220B703B-407E-443C-AE73-672CA0F39636}"/>
  <tableColumns count="4">
    <tableColumn id="1" xr3:uid="{435C8A83-571E-459B-8FCD-CBDB59AF585E}" name="1. Software Entwicklungssuppor" totalsRowFunction="count" dataDxfId="108" totalsRowDxfId="107"/>
    <tableColumn id="2" xr3:uid="{4EAF2AFC-B245-4AB5-AAA0-856DE3638F8E}" name="2. Support Systementwicklung (" totalsRowFunction="count" dataDxfId="106" totalsRowDxfId="105"/>
    <tableColumn id="3" xr3:uid="{0E51B381-4489-42F8-9565-A16D9D31FDEC}" name="3. Support Task Force (optiona" totalsRowFunction="count" dataDxfId="104" totalsRowDxfId="103"/>
    <tableColumn id="4" xr3:uid="{16AD7B1E-2E7D-4A87-AB5A-7643D3215396}" name="4. Geschätze Prozessaufwände f" totalsRowFunction="count" dataDxfId="102" totalsRowDxfId="10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AEE41F3-5937-4F42-BA01-63931275AFC9}" name="Tab_ZeitAmpel" displayName="Tab_ZeitAmpel" ref="E124:H128" totalsRowCount="1" headerRowDxfId="100" dataDxfId="98" totalsRowDxfId="96" headerRowBorderDxfId="99" tableBorderDxfId="97" totalsRowBorderDxfId="95">
  <autoFilter ref="E124:H127" xr:uid="{2AEE41F3-5937-4F42-BA01-63931275AFC9}"/>
  <tableColumns count="4">
    <tableColumn id="1" xr3:uid="{D5381AEB-41D6-4AA3-8083-D744E7EFF639}" name="1. Software Entwicklungssuppor" totalsRowFunction="sum" dataDxfId="94" totalsRowDxfId="93"/>
    <tableColumn id="2" xr3:uid="{0CC86BDC-CDFD-4C24-BE10-FD35A8DF2FB0}" name="2. Support Systementwicklung (" totalsRowFunction="sum" dataDxfId="92" totalsRowDxfId="91"/>
    <tableColumn id="3" xr3:uid="{EAB3466A-9AB4-4A5F-AEC6-CFDE72D532E5}" name="3. Support Task Force (optiona" totalsRowFunction="sum" dataDxfId="90" totalsRowDxfId="89"/>
    <tableColumn id="4" xr3:uid="{3D206E37-35DE-4A09-8704-EA894C2C7F0A}" name="4. Geschätze Prozessaufwände f" totalsRowFunction="sum" dataDxfId="88" totalsRowDxfId="8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F6FFBFD-7166-468D-B4F1-627F353ABB20}" name="Tab_BudgetAmpelPositionen" displayName="Tab_BudgetAmpelPositionen" ref="G109:J110" totalsRowShown="0" headerRowDxfId="86" dataDxfId="84" headerRowBorderDxfId="85" tableBorderDxfId="83" totalsRowBorderDxfId="82">
  <autoFilter ref="G109:J110" xr:uid="{AF6FFBFD-7166-468D-B4F1-627F353ABB20}"/>
  <tableColumns count="4">
    <tableColumn id="1" xr3:uid="{170692E8-7B9B-4B48-8F35-381B5C96C2DD}" name="1. Software Entwicklungssuppor" dataDxfId="81">
      <calculatedColumnFormula>IF('1. Software Entwicklungssuppor'!$W$4="","LEER",IF('1. Software Entwicklungssuppor'!$W$4&gt;=Projekteinstellungen!$C$9, "Warnstufe",IF('1. Software Entwicklungssuppor'!$W$4&gt;0,"geringe Abweichung","on track")))</calculatedColumnFormula>
    </tableColumn>
    <tableColumn id="2" xr3:uid="{17B8D680-C1ED-493E-9DB4-73905B0DB279}" name="2. Support Systementwicklung (" dataDxfId="80">
      <calculatedColumnFormula>IF('2. Support Systementwicklung '!$W$4="","LEER",IF('2. Support Systementwicklung '!$W$4&gt;=Projekteinstellungen!$C$9, "Warnstufe",IF('2. Support Systementwicklung '!$W$4&gt;0,"geringe Abweichung","on track")))</calculatedColumnFormula>
    </tableColumn>
    <tableColumn id="3" xr3:uid="{7F7D05E5-000C-4D6C-A074-0E198256F86C}" name="3. Support Task Force (optiona" dataDxfId="79">
      <calculatedColumnFormula>IF('3. Support Task Force'!$W$4="","LEER",IF('3. Support Task Force'!$W$4&gt;=Projekteinstellungen!$C$9, "Warnstufe",IF('3. Support Task Force'!$W$4&gt;0,"geringe Abweichung","on track")))</calculatedColumnFormula>
    </tableColumn>
    <tableColumn id="4" xr3:uid="{41B5CD36-7BE9-4B30-8AF3-3AD8FF4748CF}" name="4. Geschätze Prozessaufwände f" dataDxfId="78">
      <calculatedColumnFormula>IF('4. Geschätze Prozessaufwände'!$W$4="","LEER",IF('4. Geschätze Prozessaufwände'!$W$4&gt;=Projekteinstellungen!$C$9, "Warnstufe",IF('4. Geschätze Prozessaufwände'!$W$4&gt;0,"geringe Abweichung","on track")))</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5C9DD1-DD36-4FE6-A623-880460096ED6}" name="Tab_Settings" displayName="Tab_Settings" ref="B8:M16" totalsRowShown="0" headerRowDxfId="77" dataDxfId="76">
  <autoFilter ref="B8:M16" xr:uid="{325C9DD1-DD36-4FE6-A623-880460096ED6}"/>
  <tableColumns count="12">
    <tableColumn id="1" xr3:uid="{CB86EE20-22F5-4F99-9FBF-6D66C672AD75}" name="Faktor Warnstufe Überbuchung" dataDxfId="75"/>
    <tableColumn id="2" xr3:uid="{6E8330FB-F462-4AC2-BE12-63DAFCE790F5}" name="Warnstufe Abweichung" dataDxfId="74"/>
    <tableColumn id="3" xr3:uid="{536B6F73-8CFC-47FA-B4AB-C4505169FF00}" name="Phasen" dataDxfId="73"/>
    <tableColumn id="4" xr3:uid="{018721F6-61DB-4D0A-AFB0-3E36D7F19AFB}" name="Entwicklung Level" dataDxfId="72"/>
    <tableColumn id="5" xr3:uid="{A68B230D-32EA-42A1-88D5-EF8B25831804}" name="Entw_Fertigstellungsgrad" dataDxfId="71" dataCellStyle="Prozent"/>
    <tableColumn id="6" xr3:uid="{5683B63A-F818-40FC-B5CB-CC49F4DF4B84}" name="Review Level" dataDxfId="70"/>
    <tableColumn id="7" xr3:uid="{81D70B05-2A1A-4A18-863C-E11384480D94}" name="Rev_Fertigstellungsgrad" dataDxfId="69" dataCellStyle="Prozent"/>
    <tableColumn id="8" xr3:uid="{77FA90AD-17D1-4FB9-A3A1-D518731E02B1}" name="Jahresanzahl für Projektabruf" dataDxfId="68"/>
    <tableColumn id="9" xr3:uid="{E5D8D47C-71C3-4665-B0E6-5EE2FBE8170A}" name="Aktueller Modus (1-4)" dataDxfId="67"/>
    <tableColumn id="10" xr3:uid="{D989F99E-E2AE-4A3B-A15C-5D31193F4C05}" name="Abweichung Planung/Conaktiv" dataDxfId="66"/>
    <tableColumn id="11" xr3:uid="{5F07944F-2C82-4D16-848F-57A6481BFEB2}" name="Ressourcenabruf_Urlaub" dataDxfId="65"/>
    <tableColumn id="12" xr3:uid="{8B107A75-2349-4786-8BB7-3E63A595C1A9}" name="Faktor Warnstufe Unterbuchung" dataDxfId="6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7DB189A-B0F9-496D-80D9-1607FF1B206C}" name="Tab_FaktorZeiteinheit" displayName="Tab_FaktorZeiteinheit" ref="B20:E21" totalsRowShown="0" headerRowDxfId="63" dataDxfId="62">
  <autoFilter ref="B20:E21" xr:uid="{F7DB189A-B0F9-496D-80D9-1607FF1B206C}"/>
  <tableColumns count="4">
    <tableColumn id="1" xr3:uid="{76DED4CF-5089-4F56-A1C0-622D6ACF1AE0}" name="Basisdaten in Stunden" dataDxfId="61"/>
    <tableColumn id="2" xr3:uid="{328DE19B-5EA8-4313-9345-F91D1F6806A7}" name="Basisdaten in Tagen" dataDxfId="60"/>
    <tableColumn id="3" xr3:uid="{7638CC40-AC55-4E3A-B9F0-6E72E5B15539}" name="aktuelle Zeiteinheit" dataDxfId="59"/>
    <tableColumn id="4" xr3:uid="{36A4B76F-6DD8-40F5-AA12-E41B28A2DC92}" name="Zeiteinheit auf Button" dataDxfId="5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50AB027-4D26-4544-ACD2-0D0650511CD2}" name="Tab_ListeMA" displayName="Tab_ListeMA" ref="B36:C56" totalsRowShown="0" headerRowDxfId="57" dataDxfId="56" tableBorderDxfId="55">
  <autoFilter ref="B36:C56" xr:uid="{E50AB027-4D26-4544-ACD2-0D0650511CD2}"/>
  <sortState xmlns:xlrd2="http://schemas.microsoft.com/office/spreadsheetml/2017/richdata2" ref="B37:C56">
    <sortCondition ref="B36:B56"/>
  </sortState>
  <tableColumns count="2">
    <tableColumn id="1" xr3:uid="{5F79E6FF-0017-4C52-ADF2-EB19FD27BAAD}" name="Mitarbeiter im Projekt" dataDxfId="54"/>
    <tableColumn id="2" xr3:uid="{AA92D379-C428-4F7D-B715-F848BBDAEAB3}" name="Budget Vertrag / h" dataDxfId="5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D5236D2-9AAB-48B8-9813-FF5998C01E32}" name="Tab_LastUpdate" displayName="Tab_LastUpdate" ref="B23:B24" totalsRowShown="0" headerRowDxfId="52" dataDxfId="51" tableBorderDxfId="50">
  <autoFilter ref="B23:B24" xr:uid="{2D5236D2-9AAB-48B8-9813-FF5998C01E32}"/>
  <tableColumns count="1">
    <tableColumn id="1" xr3:uid="{0E03A9CB-D696-412C-8841-559B6C3F6954}" name="Datum des letzten Updates" dataDxfId="4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F8C1C05-2F50-4E5F-B631-14C75CC3CD77}" name="Tab_TimeRangeBurndown" displayName="Tab_TimeRangeBurndown" ref="B27:D29" totalsRowShown="0" headerRowDxfId="48" dataDxfId="47">
  <autoFilter ref="B27:D29" xr:uid="{3F8C1C05-2F50-4E5F-B631-14C75CC3CD77}"/>
  <tableColumns count="3">
    <tableColumn id="1" xr3:uid="{A5E7057F-FA6B-4C62-839B-B12DC4B5E4BB}" name="Tab_TimeRangeBurndown" dataDxfId="46"/>
    <tableColumn id="2" xr3:uid="{31FAAF96-FC49-4C97-888F-3C850B12489F}" name="KW" dataDxfId="45"/>
    <tableColumn id="3" xr3:uid="{6156FAF5-D8B2-4E01-AB66-A1B40B754BEA}" name="Jahr" dataDxfId="4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DA33816-87D1-4454-B2E4-63B36333CA76}" name="Tab_WorkPackageType" displayName="Tab_WorkPackageType" ref="B31:B33" totalsRowShown="0" headerRowDxfId="43" dataDxfId="42" tableBorderDxfId="41">
  <autoFilter ref="B31:B33" xr:uid="{5DA33816-87D1-4454-B2E4-63B36333CA76}"/>
  <tableColumns count="1">
    <tableColumn id="1" xr3:uid="{F7B379E6-D550-43A1-8417-DF4E0CFFC2CC}" name="Typ des Work Package" dataDxfId="4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F160F6-95BC-48B8-9C35-9917478FD418}" name="AdrProjekt" displayName="AdrProjekt" ref="B5:F41" totalsRowShown="0" headerRowDxfId="39">
  <autoFilter ref="B5:F41" xr:uid="{2DF160F6-95BC-48B8-9C35-9917478FD418}"/>
  <tableColumns count="5">
    <tableColumn id="5" xr3:uid="{6781F319-2B96-46C3-AF34-4D16F4550207}" name="Nummer" dataDxfId="38"/>
    <tableColumn id="1" xr3:uid="{EFB14F36-5A25-4F04-81E5-73EEA2F71AE2}" name="AdrProjekt">
      <calculatedColumnFormula>Cockpit!#REF!</calculatedColumnFormula>
    </tableColumn>
    <tableColumn id="2" xr3:uid="{6BD63559-6CF7-4534-A1EF-A0BBF028EC7B}" name="Zeile" dataDxfId="37">
      <calculatedColumnFormula>ROW(Cockpit!#REF!)</calculatedColumnFormula>
    </tableColumn>
    <tableColumn id="3" xr3:uid="{C56D20F3-83E8-4D83-8FBD-D1C2F644323C}" name="Spalte" dataDxfId="36">
      <calculatedColumnFormula>COLUMN(Cockpit!#REF!)</calculatedColumnFormula>
    </tableColumn>
    <tableColumn id="4" xr3:uid="{4E40D14C-193E-4DDD-98DA-5212A9A5D857}" name="Adresse" dataDxfId="35">
      <calculatedColumnFormula>ADDRESS(D6,E6,4)</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F3772ED-36D0-492B-961D-2706BEE6CA11}" name="AdrPositionen" displayName="AdrPositionen" ref="B44:F52" totalsRowShown="0" headerRowDxfId="34">
  <autoFilter ref="B44:F52" xr:uid="{5F3772ED-36D0-492B-961D-2706BEE6CA11}"/>
  <tableColumns count="5">
    <tableColumn id="5" xr3:uid="{FA5DB034-A9F1-422B-A719-372DF0D3A120}" name="Nummer" dataDxfId="33"/>
    <tableColumn id="1" xr3:uid="{982CB564-3BD6-42ED-872E-F22A3CE9A40D}" name="AdrPositionen"/>
    <tableColumn id="2" xr3:uid="{370D6B69-8B56-48D5-8C8F-DE38CACE328F}" name="Zeile" dataDxfId="32"/>
    <tableColumn id="3" xr3:uid="{68C73E73-DF23-4CE0-A42A-AD08BBCA7AC2}" name="Spalte" dataDxfId="31"/>
    <tableColumn id="4" xr3:uid="{ADD31802-9B8F-4215-A088-6F0B8066ACF7}" name="Adresse" dataDxfId="30">
      <calculatedColumnFormula>ADDRESS(D45,E45,1)</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CE10337-696F-418C-B356-CA0BF9733533}" name="AdrDiagramm" displayName="AdrDiagramm" ref="B55:F59" totalsRowShown="0" headerRowDxfId="29">
  <autoFilter ref="B55:F59" xr:uid="{CCE10337-696F-418C-B356-CA0BF9733533}"/>
  <tableColumns count="5">
    <tableColumn id="1" xr3:uid="{BD0AF1AD-F41D-4699-8D02-30456C20C0A3}" name="Nummer" dataDxfId="28">
      <calculatedColumnFormula>B55+1</calculatedColumnFormula>
    </tableColumn>
    <tableColumn id="2" xr3:uid="{1E42FA44-EBD4-45B4-896B-6ACD01A1CDE4}" name="AdrDiagramm"/>
    <tableColumn id="3" xr3:uid="{B96D4B4B-95D0-4CAF-823D-FF29ED49229B}" name="Zeile" dataDxfId="27"/>
    <tableColumn id="4" xr3:uid="{C4C957E9-4549-489A-B733-451DBA606F33}" name="Spalte" dataDxfId="26"/>
    <tableColumn id="5" xr3:uid="{E0864898-6C6D-4FE6-8358-F98ED7D2C0EF}" name="Adresse" dataDxfId="25">
      <calculatedColumnFormula>ADDRESS(AdrDiagramm[[#This Row],[Zeile]],AdrDiagramm[[#This Row],[Spalte]],1)</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2723061-50FE-4BDD-BFE3-DADB5B3FE16A}" name="AdrStundenabruf" displayName="AdrStundenabruf" ref="H5:L16" totalsRowShown="0" headerRowDxfId="24">
  <autoFilter ref="H5:L16" xr:uid="{52723061-50FE-4BDD-BFE3-DADB5B3FE16A}"/>
  <tableColumns count="5">
    <tableColumn id="5" xr3:uid="{2BCD8F09-D1D9-406D-A40E-2F83AC57BAA3}" name="Nummer" dataDxfId="23"/>
    <tableColumn id="1" xr3:uid="{89B99CFA-A6F1-4FBC-9A44-6028F3DBB8D7}" name="AdrStundenabruf"/>
    <tableColumn id="2" xr3:uid="{F0CBCE69-314A-48B6-BA97-47D48F08D3CF}" name="Zeile" dataDxfId="22"/>
    <tableColumn id="3" xr3:uid="{66A061F8-8472-40C0-B88E-70558132632D}" name="Spalte" dataDxfId="21"/>
    <tableColumn id="4" xr3:uid="{3034A38E-C659-4B9E-B10C-28D5EC5D694B}" name="Adresse" dataDxfId="20">
      <calculatedColumnFormula>ADDRESS(J6,K6,1)</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DD19490-0878-4CA8-A977-4AFF671F3E48}" name="AdrBurndown" displayName="AdrBurndown" ref="H19:L26" totalsRowShown="0" headerRowDxfId="19">
  <autoFilter ref="H19:L26" xr:uid="{2DD19490-0878-4CA8-A977-4AFF671F3E48}"/>
  <tableColumns count="5">
    <tableColumn id="5" xr3:uid="{90ED88EF-CFF0-4A7F-8093-C9AEF100A678}" name="Nummer" dataDxfId="18"/>
    <tableColumn id="1" xr3:uid="{D38D0B61-A1EC-49EC-B9BA-844AF22A9F2B}" name="AdrBurndown">
      <calculatedColumnFormula>Ressourceneinsatz!#REF!</calculatedColumnFormula>
    </tableColumn>
    <tableColumn id="2" xr3:uid="{96CF36BB-003E-4FD4-BCA3-869241088F24}" name="Zeile" dataDxfId="17">
      <calculatedColumnFormula>ROW(Ressourceneinsatz!#REF!)</calculatedColumnFormula>
    </tableColumn>
    <tableColumn id="3" xr3:uid="{0825665F-992E-48D7-802F-93EEBB9D2C9A}" name="Spalte" dataDxfId="16">
      <calculatedColumnFormula>COLUMN(Ressourceneinsatz!#REF!)</calculatedColumnFormula>
    </tableColumn>
    <tableColumn id="4" xr3:uid="{674626BF-030E-4F2C-A121-5A4EED370ECC}" name="Adresse">
      <calculatedColumnFormula>ADDRESS(J20,K20,1)</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E485BBE-FAB8-4DF9-9E4B-8F7D0E16D2B0}" name="AdrEintragBackl" displayName="AdrEintragBackl" ref="H29:L31" totalsRowShown="0" headerRowDxfId="15">
  <autoFilter ref="H29:L31" xr:uid="{CE485BBE-FAB8-4DF9-9E4B-8F7D0E16D2B0}"/>
  <tableColumns count="5">
    <tableColumn id="5" xr3:uid="{75330460-2201-4055-937B-7BEE048522CE}" name="Nummer" dataDxfId="14"/>
    <tableColumn id="1" xr3:uid="{E2B58FC6-EFC2-430E-9DE0-AD4460757D77}" name="AdrEintragBackl">
      <calculatedColumnFormula>Ressourceneinsatz!#REF!</calculatedColumnFormula>
    </tableColumn>
    <tableColumn id="2" xr3:uid="{FFBFFE92-C198-40FB-81F1-B35D298F6D9D}" name="Zeile" dataDxfId="13">
      <calculatedColumnFormula>ROW(Ressourceneinsatz!#REF!)</calculatedColumnFormula>
    </tableColumn>
    <tableColumn id="3" xr3:uid="{75FFBCB2-6356-4D12-9914-0F2D7E924195}" name="Spalte" dataDxfId="12">
      <calculatedColumnFormula>COLUMN(Ressourceneinsatz!#REF!)</calculatedColumnFormula>
    </tableColumn>
    <tableColumn id="4" xr3:uid="{B418F646-28C7-469E-8073-EF6B19820263}" name="Adresse">
      <calculatedColumnFormula>ADDRESS(J30,K30,1)</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38F1757-AE94-45DF-AE1F-E6F10F93CB79}" name="AdrPrognose" displayName="AdrPrognose" ref="H34:L39" totalsRowShown="0" headerRowDxfId="11">
  <autoFilter ref="H34:L39" xr:uid="{538F1757-AE94-45DF-AE1F-E6F10F93CB79}"/>
  <tableColumns count="5">
    <tableColumn id="5" xr3:uid="{32DC1A1A-964F-4377-9811-9A689F8467BE}" name="Nummer" dataDxfId="10"/>
    <tableColumn id="1" xr3:uid="{8EB09623-AAC7-43FE-9C38-BDAA48D25D2B}" name="AdrPrognose"/>
    <tableColumn id="2" xr3:uid="{F19819DC-473E-4CA9-89C3-6D4434296F90}" name="Zeile" dataDxfId="9"/>
    <tableColumn id="3" xr3:uid="{9A3179DF-EC03-47ED-9B84-52692855CE2D}" name="Spalte" dataDxfId="8"/>
    <tableColumn id="4" xr3:uid="{46BCAEDB-6FE2-45CC-8A31-F6F55F41549D}" name="Adresse">
      <calculatedColumnFormula>ADDRESS(J35,K35,1)</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2D43C4D-829F-43A8-895A-8280C9C24432}" name="Adr_1.SoftwareEntwicklungssuppor" displayName="Adr_1.SoftwareEntwicklungssuppor" ref="B67:F102" totalsRowShown="0" headerRowDxfId="7">
  <autoFilter ref="B67:F102" xr:uid="{D2D43C4D-829F-43A8-895A-8280C9C24432}"/>
  <tableColumns count="5">
    <tableColumn id="1" xr3:uid="{7E3BCB08-D720-4270-942E-A743D809DCD2}" name="Nummer" dataDxfId="6"/>
    <tableColumn id="2" xr3:uid="{C3398B23-C46E-48E8-A814-54C5D0401B4D}" name="Adr_1.SoftwareEntwicklungssuppor"/>
    <tableColumn id="3" xr3:uid="{FF2E860B-F1D7-4D0B-9EF4-5E7887180040}" name="hat Unterpositionen?"/>
    <tableColumn id="4" xr3:uid="{0A2AECDB-4909-4789-8720-75468CF7089E}" name="Startzeile">
      <calculatedColumnFormula>ROW('1. Software Entwicklungssuppor'!$D$13)</calculatedColumnFormula>
    </tableColumn>
    <tableColumn id="5" xr3:uid="{0F1072D8-71F3-49B3-9B8D-CD99AECDD897}" name="Endzeile">
      <calculatedColumnFormula>ROW('1. Software Entwicklungssuppor'!$D$13)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1ABEECB-FE25-4AA3-8BAF-B0A4491F0B32}" name="Adr_2.SupportSystementwicklung(" displayName="Adr_2.SupportSystementwicklung" ref="B105:F106" totalsRowShown="0" headerRowDxfId="5">
  <autoFilter ref="B105:F106" xr:uid="{51ABEECB-FE25-4AA3-8BAF-B0A4491F0B32}"/>
  <tableColumns count="5">
    <tableColumn id="1" xr3:uid="{62F373CF-24E2-44D8-BBBD-833D18CC5DC9}" name="Nummer" dataDxfId="4"/>
    <tableColumn id="2" xr3:uid="{815EC971-94AD-4EE1-92F4-E2155141D70D}" name="Adr_2.SupportSystementwicklung("/>
    <tableColumn id="3" xr3:uid="{72D19DBD-834E-4358-A51D-BA84FD8748AA}" name="hat Unterpositionen?"/>
    <tableColumn id="4" xr3:uid="{5B458CCC-484B-49F8-849D-D2F72CEFCDCB}" name="Startzeile">
      <calculatedColumnFormula>ROW('2. Support Systementwicklung '!$D$8)</calculatedColumnFormula>
    </tableColumn>
    <tableColumn id="5" xr3:uid="{3B219994-F847-4F7D-98AE-DFAAAEDD23D2}" name="Endzeile">
      <calculatedColumnFormula>ROW('2. Support Systementwicklung '!$D$8)</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AC1F1E-8468-4E06-8730-CFB4E1A744E4}" name="Adr_3.SupportTaskForce(optiona" displayName="Adr_3.SupportTaskForce_optiona" ref="B109:F113" totalsRowShown="0" headerRowDxfId="3">
  <autoFilter ref="B109:F113" xr:uid="{BFAC1F1E-8468-4E06-8730-CFB4E1A744E4}"/>
  <tableColumns count="5">
    <tableColumn id="1" xr3:uid="{16178954-6B6E-4D80-B0D6-7B2E03D48FA4}" name="Nummer" dataDxfId="2"/>
    <tableColumn id="2" xr3:uid="{3F173854-6796-4528-A71F-25269ADE0AFE}" name="Adr_3.SupportTaskForce(optiona"/>
    <tableColumn id="3" xr3:uid="{A4B857B6-F2FA-4755-96C4-CCAFA104DD77}" name="hat Unterpositionen?"/>
    <tableColumn id="4" xr3:uid="{8CE1E44A-5809-4CA1-B358-D3196C2ACE6C}" name="Startzeile">
      <calculatedColumnFormula>ROW('3. Support Task Force'!$D$9)</calculatedColumnFormula>
    </tableColumn>
    <tableColumn id="5" xr3:uid="{3F2F861D-0E9F-4442-ABCB-ED9EA0BD430B}" name="Endzeile">
      <calculatedColumnFormula>ROW('3. Support Task Force'!$D$9)</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DEE2D4F-0831-4857-ADDB-9D20E1B35231}" name="Adr_4.GeschätzeProzessaufwändef" displayName="Adr_4.GeschätzeProzessaufwändef" ref="B116:F117" totalsRowShown="0" headerRowDxfId="1">
  <autoFilter ref="B116:F117" xr:uid="{3DEE2D4F-0831-4857-ADDB-9D20E1B35231}"/>
  <tableColumns count="5">
    <tableColumn id="1" xr3:uid="{6CDAA6AF-4209-4A7F-AEE6-EDE8A065A359}" name="Nummer" dataDxfId="0"/>
    <tableColumn id="2" xr3:uid="{C42BABD9-5624-484F-9317-3CF913869C5D}" name="Adr_4.GeschätzeProzessaufwändef"/>
    <tableColumn id="3" xr3:uid="{4C8E75B0-C969-4BFB-B24F-4001AD55A377}" name="hat Unterpositionen?"/>
    <tableColumn id="4" xr3:uid="{9AC11201-271A-4D9F-BE38-E6AC78E46285}" name="Startzeile">
      <calculatedColumnFormula>ROW('4. Geschätze Prozessaufwände'!$D$8)</calculatedColumnFormula>
    </tableColumn>
    <tableColumn id="5" xr3:uid="{0AF2BF50-02BD-4A95-BFEA-1B3D5FC3D597}" name="Endzeile">
      <calculatedColumnFormula>ROW('4. Geschätze Prozessaufwände'!$D$8)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table" Target="../tables/table4.xml"/><Relationship Id="rId1" Type="http://schemas.openxmlformats.org/officeDocument/2006/relationships/printerSettings" Target="../printerSettings/printerSettings8.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2" Type="http://schemas.openxmlformats.org/officeDocument/2006/relationships/table" Target="../tables/table10.xml"/><Relationship Id="rId1" Type="http://schemas.openxmlformats.org/officeDocument/2006/relationships/printerSettings" Target="../printerSettings/printerSettings9.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EEE26-D6A1-4D00-80B1-F8DAEE4A6222}">
  <sheetPr codeName="Tabelle1">
    <outlinePr summaryBelow="0"/>
  </sheetPr>
  <dimension ref="A1:AA58"/>
  <sheetViews>
    <sheetView zoomScale="85" zoomScaleNormal="85" workbookViewId="0">
      <selection sqref="A1:A3"/>
    </sheetView>
  </sheetViews>
  <sheetFormatPr baseColWidth="10" defaultRowHeight="15" customHeight="1" outlineLevelRow="1"/>
  <cols>
    <col min="1" max="1" width="2.7109375" style="264" customWidth="1"/>
    <col min="2" max="2" width="2" style="1" customWidth="1"/>
    <col min="3" max="3" width="3.42578125" style="1" customWidth="1"/>
    <col min="4" max="4" width="19" style="1" customWidth="1"/>
    <col min="5" max="5" width="20.7109375" style="1" customWidth="1"/>
    <col min="6" max="7" width="11.7109375" style="1" customWidth="1"/>
    <col min="8" max="8" width="1.7109375" style="1" customWidth="1"/>
    <col min="9" max="9" width="18.7109375" style="1" customWidth="1"/>
    <col min="10" max="10" width="22.42578125" style="1" customWidth="1"/>
    <col min="11" max="11" width="28.140625" style="1" customWidth="1"/>
    <col min="12" max="12" width="29.42578125" style="1" customWidth="1"/>
    <col min="13" max="14" width="15.7109375" style="1" customWidth="1"/>
    <col min="15" max="15" width="1.7109375" style="1" customWidth="1"/>
    <col min="16" max="24" width="60.7109375" style="1" customWidth="1"/>
    <col min="25" max="32" width="10.7109375" style="1" customWidth="1"/>
    <col min="33" max="16384" width="11.42578125" style="1"/>
  </cols>
  <sheetData>
    <row r="1" spans="1:27" ht="24.95" customHeight="1">
      <c r="A1" s="431" t="s">
        <v>131</v>
      </c>
      <c r="B1" s="56"/>
      <c r="C1" s="56"/>
      <c r="I1" s="22"/>
    </row>
    <row r="2" spans="1:27" ht="19.5" customHeight="1">
      <c r="A2" s="432"/>
      <c r="B2" s="56"/>
      <c r="C2" s="56"/>
      <c r="D2" s="433" t="s">
        <v>0</v>
      </c>
      <c r="E2" s="404"/>
      <c r="F2" s="404"/>
      <c r="G2" s="405"/>
      <c r="N2" s="55"/>
      <c r="Z2" s="23"/>
    </row>
    <row r="3" spans="1:27" ht="19.5" customHeight="1" collapsed="1">
      <c r="A3" s="432"/>
      <c r="D3" s="434" t="s">
        <v>166</v>
      </c>
      <c r="E3" s="435"/>
      <c r="F3" s="435"/>
      <c r="G3" s="436"/>
    </row>
    <row r="4" spans="1:27" ht="19.5" hidden="1" customHeight="1" outlineLevel="1">
      <c r="D4" s="53" t="s">
        <v>4</v>
      </c>
      <c r="E4" s="179"/>
      <c r="F4" s="439" t="s">
        <v>168</v>
      </c>
      <c r="G4" s="440"/>
    </row>
    <row r="5" spans="1:27" ht="19.5" hidden="1" customHeight="1" outlineLevel="1">
      <c r="D5" s="54" t="s">
        <v>5</v>
      </c>
      <c r="E5" s="180"/>
      <c r="F5" s="441" t="s">
        <v>169</v>
      </c>
      <c r="G5" s="442"/>
    </row>
    <row r="6" spans="1:27" ht="19.5" hidden="1" customHeight="1" outlineLevel="1">
      <c r="D6" s="54" t="s">
        <v>6</v>
      </c>
      <c r="E6" s="180"/>
      <c r="F6" s="441" t="s">
        <v>170</v>
      </c>
      <c r="G6" s="442"/>
      <c r="L6" s="18"/>
      <c r="M6" s="18"/>
    </row>
    <row r="7" spans="1:27" ht="19.5" hidden="1" customHeight="1" outlineLevel="1">
      <c r="D7" s="54" t="s">
        <v>7</v>
      </c>
      <c r="E7" s="180"/>
      <c r="F7" s="441" t="s">
        <v>171</v>
      </c>
      <c r="G7" s="442"/>
    </row>
    <row r="8" spans="1:27" ht="19.5" hidden="1" customHeight="1" outlineLevel="1">
      <c r="D8" s="54" t="s">
        <v>8</v>
      </c>
      <c r="E8" s="180"/>
      <c r="F8" s="441" t="s">
        <v>172</v>
      </c>
      <c r="G8" s="442"/>
    </row>
    <row r="9" spans="1:27" ht="19.5" hidden="1" customHeight="1" outlineLevel="1">
      <c r="D9" s="54" t="s">
        <v>9</v>
      </c>
      <c r="E9" s="180"/>
      <c r="F9" s="441" t="s">
        <v>173</v>
      </c>
      <c r="G9" s="442"/>
    </row>
    <row r="10" spans="1:27" ht="19.5" hidden="1" customHeight="1" outlineLevel="1">
      <c r="D10" s="54" t="s">
        <v>10</v>
      </c>
      <c r="E10" s="180"/>
      <c r="F10" s="441" t="s">
        <v>173</v>
      </c>
      <c r="G10" s="442"/>
    </row>
    <row r="11" spans="1:27" ht="19.5" customHeight="1" collapsed="1">
      <c r="C11" s="425" t="s">
        <v>67</v>
      </c>
      <c r="D11" s="391" t="s">
        <v>11</v>
      </c>
      <c r="E11" s="392"/>
      <c r="F11" s="437">
        <f>NETWORKDAYS(Cockpit!$F$14,Cockpit!$F$15)</f>
        <v>262</v>
      </c>
      <c r="G11" s="429"/>
      <c r="O11" s="192"/>
      <c r="P11" s="192"/>
      <c r="Q11" s="192"/>
      <c r="R11" s="192"/>
      <c r="S11" s="192"/>
      <c r="T11" s="192"/>
      <c r="U11" s="192"/>
      <c r="V11" s="192"/>
      <c r="W11" s="192"/>
      <c r="X11" s="192"/>
      <c r="Y11" s="192"/>
      <c r="Z11" s="192"/>
      <c r="AA11" s="192"/>
    </row>
    <row r="12" spans="1:27" ht="19.5" customHeight="1">
      <c r="C12" s="426"/>
      <c r="D12" s="393" t="s">
        <v>71</v>
      </c>
      <c r="E12" s="394"/>
      <c r="F12" s="92">
        <f ca="1">IF(Cockpit!$F$14="","",IF(Cockpit!$F$14&gt;TODAY(),0,IF(TODAY()&gt;Cockpit!$F$15,Cockpit!$F$11,NETWORKDAYS(Cockpit!$F$14,TODAY()))))</f>
        <v>102</v>
      </c>
      <c r="G12" s="93">
        <f ca="1">IF(Cockpit!$F$15="","",Cockpit!$F$11-Cockpit!$F$12)</f>
        <v>160</v>
      </c>
      <c r="O12" s="106"/>
      <c r="P12" s="106"/>
      <c r="Q12" s="106"/>
      <c r="R12" s="106"/>
      <c r="S12" s="106"/>
      <c r="T12" s="106"/>
      <c r="U12" s="106"/>
      <c r="V12" s="106"/>
      <c r="W12" s="106"/>
      <c r="X12" s="106"/>
      <c r="Y12" s="106"/>
      <c r="Z12" s="107"/>
      <c r="AA12" s="107"/>
    </row>
    <row r="13" spans="1:27" ht="19.5" customHeight="1">
      <c r="C13" s="426"/>
      <c r="D13" s="393" t="s">
        <v>13</v>
      </c>
      <c r="E13" s="394"/>
      <c r="F13" s="438">
        <f ca="1">IFERROR((IF(Cockpit!$F$12/Cockpit!$F$11&gt;1,1,Cockpit!$F$12/Cockpit!$F$11)),0)</f>
        <v>0.38931297709923662</v>
      </c>
      <c r="G13" s="430"/>
      <c r="O13" s="108"/>
      <c r="P13" s="108"/>
      <c r="Q13" s="108"/>
      <c r="R13" s="108"/>
      <c r="S13" s="108"/>
      <c r="T13" s="108"/>
      <c r="U13" s="108"/>
      <c r="V13" s="108"/>
      <c r="W13" s="108"/>
      <c r="X13" s="108"/>
      <c r="Y13" s="108"/>
      <c r="Z13" s="109"/>
      <c r="AA13" s="109"/>
    </row>
    <row r="14" spans="1:27" ht="19.5" customHeight="1">
      <c r="C14" s="426"/>
      <c r="D14" s="393" t="s">
        <v>1</v>
      </c>
      <c r="E14" s="394"/>
      <c r="F14" s="415">
        <v>45078</v>
      </c>
      <c r="G14" s="416"/>
      <c r="O14" s="108"/>
      <c r="P14" s="108"/>
      <c r="Q14" s="108"/>
      <c r="R14" s="108"/>
      <c r="S14" s="108"/>
      <c r="T14" s="108"/>
      <c r="U14" s="108"/>
      <c r="V14" s="108"/>
      <c r="W14" s="108"/>
      <c r="X14" s="108"/>
      <c r="Y14" s="108"/>
      <c r="Z14" s="109"/>
      <c r="AA14" s="109"/>
    </row>
    <row r="15" spans="1:27" ht="19.5" customHeight="1">
      <c r="C15" s="427"/>
      <c r="D15" s="395" t="s">
        <v>2</v>
      </c>
      <c r="E15" s="396"/>
      <c r="F15" s="417">
        <v>45443</v>
      </c>
      <c r="G15" s="418"/>
    </row>
    <row r="16" spans="1:27" ht="19.5" customHeight="1">
      <c r="C16" s="388" t="s">
        <v>3</v>
      </c>
      <c r="D16" s="391" t="s">
        <v>11</v>
      </c>
      <c r="E16" s="392"/>
      <c r="F16" s="429">
        <f>1796.625*Tab_FaktorZeiteinheit[Basisdaten in Tagen]</f>
        <v>14373</v>
      </c>
      <c r="G16" s="429"/>
    </row>
    <row r="17" spans="3:27" ht="19.5" customHeight="1">
      <c r="C17" s="389"/>
      <c r="D17" s="393" t="s">
        <v>71</v>
      </c>
      <c r="E17" s="394"/>
      <c r="F17" s="88">
        <f>881.4585*Tab_FaktorZeiteinheit[Basisdaten in Tagen]</f>
        <v>7051.6679999999997</v>
      </c>
      <c r="G17" s="89">
        <f>(Cockpit!$F$16-Cockpit!$F$17)</f>
        <v>7321.3320000000003</v>
      </c>
    </row>
    <row r="18" spans="3:27" ht="19.5" customHeight="1">
      <c r="C18" s="389"/>
      <c r="D18" s="393" t="s">
        <v>13</v>
      </c>
      <c r="E18" s="394"/>
      <c r="F18" s="430">
        <f>IFERROR(Cockpit!$F$17/Cockpit!$F$16,0)</f>
        <v>0.49061907743686078</v>
      </c>
      <c r="G18" s="430"/>
    </row>
    <row r="19" spans="3:27" ht="19.5" customHeight="1">
      <c r="C19" s="389"/>
      <c r="D19" s="393" t="s">
        <v>2</v>
      </c>
      <c r="E19" s="394"/>
      <c r="F19" s="415">
        <f ca="1">IF(Cockpit!$G$21=0,"FTE zu klein",IFERROR(WORKDAY(TODAY(),Cockpit!$G$17/(Tab_FaktorZeiteinheit[Basisdaten in Tagen]*Cockpit!$G$21)),"#Fehler"))</f>
        <v>45369</v>
      </c>
      <c r="G19" s="416"/>
      <c r="O19" s="192"/>
      <c r="P19" s="192"/>
      <c r="Q19" s="192"/>
      <c r="R19" s="192"/>
      <c r="S19" s="192"/>
      <c r="T19" s="192"/>
      <c r="U19" s="192"/>
      <c r="V19" s="192"/>
      <c r="W19" s="192"/>
      <c r="X19" s="192"/>
      <c r="Y19" s="192"/>
      <c r="Z19" s="192"/>
      <c r="AA19" s="192"/>
    </row>
    <row r="20" spans="3:27" ht="19.5" customHeight="1">
      <c r="C20" s="390"/>
      <c r="D20" s="395" t="s">
        <v>121</v>
      </c>
      <c r="E20" s="396"/>
      <c r="F20" s="417">
        <f ca="1">IF(Cockpit!$G$22=0,"FTE zu klein",IFERROR(WORKDAY(TODAY(),Cockpit!$G$17/(Tab_FaktorZeiteinheit[Basisdaten in Tagen]*Cockpit!$G$22)),"#Fehler"))</f>
        <v>45376</v>
      </c>
      <c r="G20" s="418"/>
    </row>
    <row r="21" spans="3:27" ht="19.5" customHeight="1">
      <c r="C21" s="425" t="s">
        <v>68</v>
      </c>
      <c r="D21" s="391" t="s">
        <v>119</v>
      </c>
      <c r="E21" s="392"/>
      <c r="F21" s="90">
        <f>IFERROR(Cockpit!$F$16/(Cockpit!$F$11*Tab_FaktorZeiteinheit[Basisdaten in Tagen]),"")</f>
        <v>6.8573473282442752</v>
      </c>
      <c r="G21" s="91">
        <f>AVERAGE(Ressourceneinsatz!E29:W29)</f>
        <v>8.5796315789473692</v>
      </c>
    </row>
    <row r="22" spans="3:27" ht="19.5" customHeight="1">
      <c r="C22" s="426"/>
      <c r="D22" s="393" t="s">
        <v>122</v>
      </c>
      <c r="E22" s="394"/>
      <c r="F22" s="92">
        <f ca="1">Cockpit!$G$17/(NETWORKDAYS(TODAY(),Cockpit!$F$15)*Tab_FaktorZeiteinheit[Basisdaten in Tagen])</f>
        <v>5.6842639751552797</v>
      </c>
      <c r="G22" s="93">
        <f>AVERAGE(Ressourceneinsatz!T29:W29)</f>
        <v>8.2407499999999985</v>
      </c>
    </row>
    <row r="23" spans="3:27" ht="19.5" customHeight="1">
      <c r="C23" s="427"/>
      <c r="D23" s="395" t="s">
        <v>123</v>
      </c>
      <c r="E23" s="396"/>
      <c r="F23" s="413">
        <v>0</v>
      </c>
      <c r="G23" s="428"/>
    </row>
    <row r="24" spans="3:27" ht="19.5" customHeight="1">
      <c r="C24" s="194"/>
      <c r="D24" s="401" t="s">
        <v>161</v>
      </c>
      <c r="E24" s="402"/>
      <c r="F24" s="406">
        <v>0</v>
      </c>
      <c r="G24" s="407"/>
    </row>
    <row r="25" spans="3:27" ht="19.5" customHeight="1">
      <c r="C25" s="388" t="s">
        <v>134</v>
      </c>
      <c r="D25" s="391" t="s">
        <v>254</v>
      </c>
      <c r="E25" s="392"/>
      <c r="F25" s="294">
        <f>SUM($F$46,$F$50,$F$54,$F$58)</f>
        <v>0</v>
      </c>
      <c r="G25" s="294">
        <f>SUM($G$46,$G$50,$G$54,$G$58)</f>
        <v>0</v>
      </c>
    </row>
    <row r="26" spans="3:27" ht="19.5" customHeight="1">
      <c r="C26" s="389"/>
      <c r="D26" s="393" t="s">
        <v>71</v>
      </c>
      <c r="E26" s="394"/>
      <c r="F26" s="295">
        <f>$G$25-$G$26</f>
        <v>0</v>
      </c>
      <c r="G26" s="295">
        <f>SUM($K$46,$K$50,$K$54,$K$58)</f>
        <v>0</v>
      </c>
    </row>
    <row r="27" spans="3:27" ht="19.5" customHeight="1">
      <c r="C27" s="389"/>
      <c r="D27" s="393" t="s">
        <v>13</v>
      </c>
      <c r="E27" s="394"/>
      <c r="F27" s="408">
        <f>IFERROR($F$26/$G$25,0)</f>
        <v>0</v>
      </c>
      <c r="G27" s="409"/>
    </row>
    <row r="28" spans="3:27" ht="19.5" customHeight="1">
      <c r="C28" s="389"/>
      <c r="D28" s="393" t="s">
        <v>2</v>
      </c>
      <c r="E28" s="394"/>
      <c r="F28" s="410" t="str">
        <f ca="1">IF(Cockpit!$G$21=0,"FTE zu klein",IF(Cockpit!$G$25=0,"nicht beplant",IFERROR(WORKDAY(TODAY(),(Cockpit!$G$26/(Tab_FaktorZeiteinheit[Basisdaten in Tagen]*Cockpit!$G$21))),"#Fehler")))</f>
        <v>nicht beplant</v>
      </c>
      <c r="G28" s="411"/>
    </row>
    <row r="29" spans="3:27" ht="19.5" customHeight="1">
      <c r="C29" s="389"/>
      <c r="D29" s="393" t="s">
        <v>255</v>
      </c>
      <c r="E29" s="394"/>
      <c r="F29" s="410" t="str">
        <f ca="1">IF(Cockpit!$G$22=0,"FTE zu klein",IF(Cockpit!$G$25=0,"nicht beplant",IFERROR(WORKDAY(TODAY(),(Cockpit!$G$26/(Tab_FaktorZeiteinheit[Basisdaten in Tagen]*Cockpit!$G$21))),"#Fehler")))</f>
        <v>nicht beplant</v>
      </c>
      <c r="G29" s="411"/>
    </row>
    <row r="30" spans="3:27" ht="19.5" customHeight="1">
      <c r="C30" s="389"/>
      <c r="D30" s="393" t="s">
        <v>256</v>
      </c>
      <c r="E30" s="394"/>
      <c r="F30" s="412">
        <f>$G$25-$F$25</f>
        <v>0</v>
      </c>
      <c r="G30" s="411"/>
    </row>
    <row r="31" spans="3:27" ht="19.5" customHeight="1">
      <c r="C31" s="390"/>
      <c r="D31" s="395" t="s">
        <v>18</v>
      </c>
      <c r="E31" s="396"/>
      <c r="F31" s="413">
        <f>$G$26-$G$17</f>
        <v>-7321.3320000000003</v>
      </c>
      <c r="G31" s="414"/>
    </row>
    <row r="33" spans="4:14" ht="19.5" customHeight="1">
      <c r="I33" s="403" t="s">
        <v>133</v>
      </c>
      <c r="J33" s="404"/>
      <c r="K33" s="404"/>
      <c r="L33" s="404"/>
      <c r="M33" s="404"/>
      <c r="N33" s="405"/>
    </row>
    <row r="34" spans="4:14" ht="19.5" customHeight="1">
      <c r="E34" s="238"/>
      <c r="I34" s="137"/>
      <c r="J34" s="193" t="s">
        <v>3</v>
      </c>
      <c r="K34" s="399" t="s">
        <v>134</v>
      </c>
      <c r="L34" s="400"/>
      <c r="M34" s="419" t="s">
        <v>135</v>
      </c>
      <c r="N34" s="420"/>
    </row>
    <row r="35" spans="4:14" ht="30" customHeight="1">
      <c r="I35" s="133"/>
      <c r="J35" s="138"/>
      <c r="K35" s="139"/>
      <c r="L35" s="139"/>
      <c r="M35" s="421"/>
      <c r="N35" s="422"/>
    </row>
    <row r="36" spans="4:14" ht="30" customHeight="1">
      <c r="I36" s="133"/>
      <c r="J36" s="134"/>
      <c r="K36" s="140"/>
      <c r="L36" s="140"/>
      <c r="M36" s="423"/>
      <c r="N36" s="424"/>
    </row>
    <row r="37" spans="4:14" ht="30" customHeight="1">
      <c r="I37" s="135"/>
      <c r="J37" s="136"/>
      <c r="K37" s="141"/>
      <c r="L37" s="141"/>
      <c r="M37" s="397"/>
      <c r="N37" s="398"/>
    </row>
    <row r="42" spans="4:14" ht="19.5" customHeight="1">
      <c r="D42" s="384" t="s">
        <v>257</v>
      </c>
      <c r="E42" s="385"/>
      <c r="F42" s="296" t="s">
        <v>11</v>
      </c>
      <c r="G42" s="386" t="s">
        <v>151</v>
      </c>
      <c r="H42" s="386"/>
      <c r="I42" s="296" t="s">
        <v>18</v>
      </c>
      <c r="J42" s="296" t="s">
        <v>256</v>
      </c>
      <c r="K42" s="296" t="s">
        <v>12</v>
      </c>
      <c r="L42" s="296" t="s">
        <v>13</v>
      </c>
      <c r="M42" s="386" t="s">
        <v>14</v>
      </c>
      <c r="N42" s="387"/>
    </row>
    <row r="43" spans="4:14" ht="15" customHeight="1">
      <c r="D43" s="306" t="s">
        <v>258</v>
      </c>
      <c r="E43" s="300"/>
      <c r="F43" s="301"/>
      <c r="G43" s="301"/>
      <c r="H43" s="301"/>
      <c r="I43" s="301"/>
      <c r="J43" s="301"/>
      <c r="K43" s="301"/>
      <c r="L43" s="301"/>
      <c r="M43" s="301"/>
      <c r="N43" s="302"/>
    </row>
    <row r="44" spans="4:14" ht="15" customHeight="1">
      <c r="D44" s="307"/>
      <c r="E44" s="308" t="s">
        <v>67</v>
      </c>
      <c r="F44" s="311">
        <f>'1. Software Entwicklungssuppor'!$R$3</f>
        <v>0</v>
      </c>
      <c r="G44" s="303"/>
      <c r="H44" s="303"/>
      <c r="I44" s="311"/>
      <c r="J44" s="303"/>
      <c r="K44" s="311">
        <f ca="1">'1. Software Entwicklungssuppor'!$S$3</f>
        <v>0</v>
      </c>
      <c r="L44" s="313">
        <f>'1. Software Entwicklungssuppor'!$T$3</f>
        <v>0</v>
      </c>
      <c r="M44" s="311">
        <f ca="1">'1. Software Entwicklungssuppor'!$V$3</f>
        <v>0</v>
      </c>
      <c r="N44" s="315" t="str">
        <f>'1. Software Entwicklungssuppor'!$W$3</f>
        <v/>
      </c>
    </row>
    <row r="45" spans="4:14" ht="15" customHeight="1">
      <c r="D45" s="307"/>
      <c r="E45" s="308" t="s">
        <v>3</v>
      </c>
      <c r="F45" s="311">
        <f>'1. Software Entwicklungssuppor'!$R$4</f>
        <v>11181</v>
      </c>
      <c r="G45" s="303"/>
      <c r="H45" s="303"/>
      <c r="I45" s="303"/>
      <c r="J45" s="303"/>
      <c r="K45" s="311">
        <f>'1. Software Entwicklungssuppor'!$S$4</f>
        <v>4826.58</v>
      </c>
      <c r="L45" s="313">
        <f>'1. Software Entwicklungssuppor'!$T$4</f>
        <v>0.56832304802790445</v>
      </c>
      <c r="M45" s="311">
        <f>'1. Software Entwicklungssuppor'!$V$4</f>
        <v>6354.42</v>
      </c>
      <c r="N45" s="315">
        <f>'1. Software Entwicklungssuppor'!$W$4</f>
        <v>0.56832304802790445</v>
      </c>
    </row>
    <row r="46" spans="4:14" ht="15" customHeight="1">
      <c r="D46" s="309"/>
      <c r="E46" s="310" t="s">
        <v>134</v>
      </c>
      <c r="F46" s="312">
        <f>'1. Software Entwicklungssuppor'!$R$5</f>
        <v>0</v>
      </c>
      <c r="G46" s="312">
        <f>'1. Software Entwicklungssuppor'!$R$5</f>
        <v>0</v>
      </c>
      <c r="H46" s="304"/>
      <c r="I46" s="312">
        <f>(Cockpit!$K$46-Cockpit!$K$45)-Cockpit!$J$46</f>
        <v>-4826.58</v>
      </c>
      <c r="J46" s="312">
        <f>IF(AND($F$46&lt;&gt;"",$G$46&lt;&gt;""),Cockpit!$G$46-Cockpit!$F$46,"")</f>
        <v>0</v>
      </c>
      <c r="K46" s="312">
        <f>'1. Software Entwicklungssuppor'!$S$5</f>
        <v>0</v>
      </c>
      <c r="L46" s="314">
        <f>'1. Software Entwicklungssuppor'!$T$5</f>
        <v>0</v>
      </c>
      <c r="M46" s="304"/>
      <c r="N46" s="305"/>
    </row>
    <row r="47" spans="4:14" ht="15" customHeight="1">
      <c r="D47" s="306" t="s">
        <v>332</v>
      </c>
      <c r="E47" s="300"/>
      <c r="F47" s="325"/>
      <c r="G47" s="325"/>
      <c r="H47" s="301"/>
      <c r="I47" s="325"/>
      <c r="J47" s="325"/>
      <c r="K47" s="325"/>
      <c r="L47" s="326"/>
      <c r="M47" s="301"/>
      <c r="N47" s="302"/>
    </row>
    <row r="48" spans="4:14" ht="15" customHeight="1">
      <c r="D48" s="307"/>
      <c r="E48" s="308" t="s">
        <v>67</v>
      </c>
      <c r="F48" s="311">
        <f>'2. Support Systementwicklung '!$R$3</f>
        <v>0</v>
      </c>
      <c r="G48" s="311"/>
      <c r="H48" s="303"/>
      <c r="I48" s="311"/>
      <c r="J48" s="311"/>
      <c r="K48" s="311">
        <f ca="1">'2. Support Systementwicklung '!$S$3</f>
        <v>0</v>
      </c>
      <c r="L48" s="313">
        <f>'2. Support Systementwicklung '!$T$3</f>
        <v>0</v>
      </c>
      <c r="M48" s="311">
        <f ca="1">'2. Support Systementwicklung '!$V$3</f>
        <v>0</v>
      </c>
      <c r="N48" s="315" t="str">
        <f>'2. Support Systementwicklung '!$W$3</f>
        <v/>
      </c>
    </row>
    <row r="49" spans="4:14" ht="15" customHeight="1">
      <c r="D49" s="307"/>
      <c r="E49" s="308" t="s">
        <v>3</v>
      </c>
      <c r="F49" s="311">
        <f>'2. Support Systementwicklung '!$R$4</f>
        <v>700</v>
      </c>
      <c r="G49" s="311"/>
      <c r="H49" s="303"/>
      <c r="I49" s="311"/>
      <c r="J49" s="311"/>
      <c r="K49" s="311">
        <f>'2. Support Systementwicklung '!$S$4</f>
        <v>393</v>
      </c>
      <c r="L49" s="313">
        <f>'2. Support Systementwicklung '!$T$4</f>
        <v>0.43857142857142856</v>
      </c>
      <c r="M49" s="311">
        <f>'2. Support Systementwicklung '!$V$4</f>
        <v>307</v>
      </c>
      <c r="N49" s="315">
        <f>'2. Support Systementwicklung '!$W$4</f>
        <v>0.43857142857142856</v>
      </c>
    </row>
    <row r="50" spans="4:14" ht="15" customHeight="1">
      <c r="D50" s="309"/>
      <c r="E50" s="310" t="s">
        <v>134</v>
      </c>
      <c r="F50" s="312">
        <f>'2. Support Systementwicklung '!$R$5</f>
        <v>0</v>
      </c>
      <c r="G50" s="312">
        <f>'2. Support Systementwicklung '!$R$5</f>
        <v>0</v>
      </c>
      <c r="H50" s="304"/>
      <c r="I50" s="312">
        <f>(Cockpit!$K$50-Cockpit!$K$49)-Cockpit!$J$50</f>
        <v>-393</v>
      </c>
      <c r="J50" s="312">
        <f>IF(AND($F$50&lt;&gt;"",$G$50&lt;&gt;""),Cockpit!$G$50-Cockpit!$F$50,"")</f>
        <v>0</v>
      </c>
      <c r="K50" s="312">
        <f>'2. Support Systementwicklung '!$S$5</f>
        <v>0</v>
      </c>
      <c r="L50" s="314">
        <f>'2. Support Systementwicklung '!$T$5</f>
        <v>0</v>
      </c>
      <c r="M50" s="304"/>
      <c r="N50" s="305"/>
    </row>
    <row r="51" spans="4:14" ht="15" customHeight="1">
      <c r="D51" s="306" t="s">
        <v>335</v>
      </c>
      <c r="E51" s="300"/>
      <c r="F51" s="325"/>
      <c r="G51" s="325"/>
      <c r="H51" s="301"/>
      <c r="I51" s="325"/>
      <c r="J51" s="325"/>
      <c r="K51" s="325"/>
      <c r="L51" s="326"/>
      <c r="M51" s="301"/>
      <c r="N51" s="302"/>
    </row>
    <row r="52" spans="4:14" ht="15" customHeight="1">
      <c r="D52" s="307"/>
      <c r="E52" s="308" t="s">
        <v>67</v>
      </c>
      <c r="F52" s="311">
        <f>'3. Support Task Force'!$R$3</f>
        <v>0</v>
      </c>
      <c r="G52" s="311"/>
      <c r="H52" s="303"/>
      <c r="I52" s="311"/>
      <c r="J52" s="311"/>
      <c r="K52" s="311">
        <f ca="1">'3. Support Task Force'!$S$3</f>
        <v>0</v>
      </c>
      <c r="L52" s="313">
        <f>'3. Support Task Force'!$T$3</f>
        <v>0</v>
      </c>
      <c r="M52" s="311">
        <f ca="1">'3. Support Task Force'!$V$3</f>
        <v>0</v>
      </c>
      <c r="N52" s="315" t="str">
        <f>'3. Support Task Force'!$W$3</f>
        <v/>
      </c>
    </row>
    <row r="53" spans="4:14" ht="15" customHeight="1">
      <c r="D53" s="307"/>
      <c r="E53" s="308" t="s">
        <v>3</v>
      </c>
      <c r="F53" s="311">
        <f>'3. Support Task Force'!$R$4</f>
        <v>992</v>
      </c>
      <c r="G53" s="311"/>
      <c r="H53" s="303"/>
      <c r="I53" s="311"/>
      <c r="J53" s="311"/>
      <c r="K53" s="311">
        <f>'3. Support Task Force'!$S$4</f>
        <v>655.75</v>
      </c>
      <c r="L53" s="313">
        <f>'3. Support Task Force'!$T$4</f>
        <v>0.33896169354838712</v>
      </c>
      <c r="M53" s="311">
        <f>'3. Support Task Force'!$V$4</f>
        <v>336.25</v>
      </c>
      <c r="N53" s="315">
        <f>'3. Support Task Force'!$W$4</f>
        <v>0.33896169354838712</v>
      </c>
    </row>
    <row r="54" spans="4:14" ht="15" customHeight="1">
      <c r="D54" s="309"/>
      <c r="E54" s="310" t="s">
        <v>134</v>
      </c>
      <c r="F54" s="312">
        <f>'3. Support Task Force'!$R$5</f>
        <v>0</v>
      </c>
      <c r="G54" s="312">
        <f>'3. Support Task Force'!$R$5</f>
        <v>0</v>
      </c>
      <c r="H54" s="304"/>
      <c r="I54" s="312">
        <f>(Cockpit!$K$54-Cockpit!$K$53)-Cockpit!$J$54</f>
        <v>-655.75</v>
      </c>
      <c r="J54" s="312">
        <f>IF(AND($F$54&lt;&gt;"",$G$54&lt;&gt;""),Cockpit!$G$54-Cockpit!$F$54,"")</f>
        <v>0</v>
      </c>
      <c r="K54" s="312">
        <f>'3. Support Task Force'!$S$5</f>
        <v>0</v>
      </c>
      <c r="L54" s="314">
        <f>'3. Support Task Force'!$T$5</f>
        <v>0</v>
      </c>
      <c r="M54" s="304"/>
      <c r="N54" s="305"/>
    </row>
    <row r="55" spans="4:14" ht="15" customHeight="1">
      <c r="D55" s="306" t="s">
        <v>344</v>
      </c>
      <c r="E55" s="300"/>
      <c r="F55" s="325"/>
      <c r="G55" s="325"/>
      <c r="H55" s="301"/>
      <c r="I55" s="325"/>
      <c r="J55" s="325"/>
      <c r="K55" s="325"/>
      <c r="L55" s="326"/>
      <c r="M55" s="301"/>
      <c r="N55" s="302"/>
    </row>
    <row r="56" spans="4:14" ht="15" customHeight="1">
      <c r="D56" s="307"/>
      <c r="E56" s="308" t="s">
        <v>67</v>
      </c>
      <c r="F56" s="311">
        <f>'4. Geschätze Prozessaufwände'!$R$3</f>
        <v>0</v>
      </c>
      <c r="G56" s="311"/>
      <c r="H56" s="303"/>
      <c r="I56" s="311"/>
      <c r="J56" s="311"/>
      <c r="K56" s="311">
        <f ca="1">'4. Geschätze Prozessaufwände'!$S$3</f>
        <v>0</v>
      </c>
      <c r="L56" s="313">
        <f>'4. Geschätze Prozessaufwände'!$T$3</f>
        <v>0</v>
      </c>
      <c r="M56" s="311">
        <f ca="1">'4. Geschätze Prozessaufwände'!$V$3</f>
        <v>0</v>
      </c>
      <c r="N56" s="315" t="str">
        <f>'4. Geschätze Prozessaufwände'!$W$3</f>
        <v/>
      </c>
    </row>
    <row r="57" spans="4:14" ht="15" customHeight="1">
      <c r="D57" s="307"/>
      <c r="E57" s="308" t="s">
        <v>3</v>
      </c>
      <c r="F57" s="311">
        <f>'4. Geschätze Prozessaufwände'!$R$4</f>
        <v>1500</v>
      </c>
      <c r="G57" s="311"/>
      <c r="H57" s="303"/>
      <c r="I57" s="311"/>
      <c r="J57" s="311"/>
      <c r="K57" s="311">
        <f>'4. Geschätze Prozessaufwände'!$S$4</f>
        <v>0</v>
      </c>
      <c r="L57" s="313">
        <f>'4. Geschätze Prozessaufwände'!$T$4</f>
        <v>1</v>
      </c>
      <c r="M57" s="311">
        <f>'4. Geschätze Prozessaufwände'!$V$4</f>
        <v>1500</v>
      </c>
      <c r="N57" s="315">
        <f>'4. Geschätze Prozessaufwände'!$W$4</f>
        <v>1</v>
      </c>
    </row>
    <row r="58" spans="4:14" ht="15" customHeight="1">
      <c r="D58" s="309"/>
      <c r="E58" s="310" t="s">
        <v>134</v>
      </c>
      <c r="F58" s="312">
        <f>'4. Geschätze Prozessaufwände'!$R$5</f>
        <v>0</v>
      </c>
      <c r="G58" s="312">
        <f>'4. Geschätze Prozessaufwände'!$R$5</f>
        <v>0</v>
      </c>
      <c r="H58" s="304"/>
      <c r="I58" s="312">
        <f>(Cockpit!$K$58-Cockpit!$K$57)-Cockpit!$J$58</f>
        <v>0</v>
      </c>
      <c r="J58" s="312">
        <f>IF(AND($F$58&lt;&gt;"",$G$58&lt;&gt;""),Cockpit!$G$58-Cockpit!$F$58,"")</f>
        <v>0</v>
      </c>
      <c r="K58" s="312">
        <f>'4. Geschätze Prozessaufwände'!$S$5</f>
        <v>0</v>
      </c>
      <c r="L58" s="314">
        <f>'4. Geschätze Prozessaufwände'!$T$5</f>
        <v>0</v>
      </c>
      <c r="M58" s="304"/>
      <c r="N58" s="305"/>
    </row>
  </sheetData>
  <sheetProtection selectLockedCells="1"/>
  <dataConsolidate/>
  <mergeCells count="59">
    <mergeCell ref="A1:A3"/>
    <mergeCell ref="D2:G2"/>
    <mergeCell ref="D3:G3"/>
    <mergeCell ref="F14:G14"/>
    <mergeCell ref="F15:G15"/>
    <mergeCell ref="F11:G11"/>
    <mergeCell ref="F13:G13"/>
    <mergeCell ref="F4:G4"/>
    <mergeCell ref="F5:G5"/>
    <mergeCell ref="F6:G6"/>
    <mergeCell ref="F7:G7"/>
    <mergeCell ref="F9:G9"/>
    <mergeCell ref="F10:G10"/>
    <mergeCell ref="F8:G8"/>
    <mergeCell ref="C21:C23"/>
    <mergeCell ref="F23:G23"/>
    <mergeCell ref="D11:E11"/>
    <mergeCell ref="D12:E12"/>
    <mergeCell ref="D13:E13"/>
    <mergeCell ref="D14:E14"/>
    <mergeCell ref="D15:E15"/>
    <mergeCell ref="D16:E16"/>
    <mergeCell ref="D17:E17"/>
    <mergeCell ref="D18:E18"/>
    <mergeCell ref="D19:E19"/>
    <mergeCell ref="D20:E20"/>
    <mergeCell ref="F16:G16"/>
    <mergeCell ref="F18:G18"/>
    <mergeCell ref="C11:C15"/>
    <mergeCell ref="C16:C20"/>
    <mergeCell ref="F19:G19"/>
    <mergeCell ref="F20:G20"/>
    <mergeCell ref="M34:N34"/>
    <mergeCell ref="M35:N35"/>
    <mergeCell ref="M36:N36"/>
    <mergeCell ref="D21:E21"/>
    <mergeCell ref="D22:E22"/>
    <mergeCell ref="D23:E23"/>
    <mergeCell ref="D24:E24"/>
    <mergeCell ref="I33:N33"/>
    <mergeCell ref="F24:G24"/>
    <mergeCell ref="F27:G27"/>
    <mergeCell ref="F28:G28"/>
    <mergeCell ref="F29:G29"/>
    <mergeCell ref="F30:G30"/>
    <mergeCell ref="F31:G31"/>
    <mergeCell ref="D42:E42"/>
    <mergeCell ref="G42:H42"/>
    <mergeCell ref="M42:N42"/>
    <mergeCell ref="C25:C31"/>
    <mergeCell ref="D25:E25"/>
    <mergeCell ref="D26:E26"/>
    <mergeCell ref="D27:E27"/>
    <mergeCell ref="D28:E28"/>
    <mergeCell ref="D29:E29"/>
    <mergeCell ref="D30:E30"/>
    <mergeCell ref="D31:E31"/>
    <mergeCell ref="M37:N37"/>
    <mergeCell ref="K34:L34"/>
  </mergeCells>
  <conditionalFormatting sqref="F13">
    <cfRule type="dataBar" priority="20">
      <dataBar>
        <cfvo type="num" val="0"/>
        <cfvo type="num" val="1"/>
        <color rgb="FF9AC7F0"/>
      </dataBar>
      <extLst>
        <ext xmlns:x14="http://schemas.microsoft.com/office/spreadsheetml/2009/9/main" uri="{B025F937-C7B1-47D3-B67F-A62EFF666E3E}">
          <x14:id>{AED4F126-70EC-4098-B562-B7E634AF108E}</x14:id>
        </ext>
      </extLst>
    </cfRule>
  </conditionalFormatting>
  <conditionalFormatting sqref="F18">
    <cfRule type="dataBar" priority="19">
      <dataBar>
        <cfvo type="num" val="0"/>
        <cfvo type="num" val="1"/>
        <color rgb="FF9AC7F0"/>
      </dataBar>
      <extLst>
        <ext xmlns:x14="http://schemas.microsoft.com/office/spreadsheetml/2009/9/main" uri="{B025F937-C7B1-47D3-B67F-A62EFF666E3E}">
          <x14:id>{CDB2A955-608B-45B5-99C6-5E068CA4523C}</x14:id>
        </ext>
      </extLst>
    </cfRule>
  </conditionalFormatting>
  <conditionalFormatting sqref="L47:L58 F27">
    <cfRule type="dataBar" priority="21">
      <dataBar>
        <cfvo type="num" val="0"/>
        <cfvo type="num" val="1"/>
        <color rgb="FF9AC7F0"/>
      </dataBar>
      <extLst>
        <ext xmlns:x14="http://schemas.microsoft.com/office/spreadsheetml/2009/9/main" uri="{B025F937-C7B1-47D3-B67F-A62EFF666E3E}">
          <x14:id>{DE68457B-FBF9-476F-8443-ED71E6B7D9BA}</x14:id>
        </ext>
      </extLst>
    </cfRule>
  </conditionalFormatting>
  <conditionalFormatting sqref="L44">
    <cfRule type="dataBar" priority="22">
      <dataBar>
        <cfvo type="num" val="0"/>
        <cfvo type="num" val="1"/>
        <color rgb="FF9AC7F0"/>
      </dataBar>
      <extLst>
        <ext xmlns:x14="http://schemas.microsoft.com/office/spreadsheetml/2009/9/main" uri="{B025F937-C7B1-47D3-B67F-A62EFF666E3E}">
          <x14:id>{AFD8C192-17FD-48E4-A1A6-955D79B24443}</x14:id>
        </ext>
      </extLst>
    </cfRule>
  </conditionalFormatting>
  <conditionalFormatting sqref="L45">
    <cfRule type="dataBar" priority="23">
      <dataBar>
        <cfvo type="num" val="0"/>
        <cfvo type="num" val="1"/>
        <color rgb="FF9AC7F0"/>
      </dataBar>
      <extLst>
        <ext xmlns:x14="http://schemas.microsoft.com/office/spreadsheetml/2009/9/main" uri="{B025F937-C7B1-47D3-B67F-A62EFF666E3E}">
          <x14:id>{B19ABD10-177D-405B-8BBC-489EA87E3C3B}</x14:id>
        </ext>
      </extLst>
    </cfRule>
  </conditionalFormatting>
  <conditionalFormatting sqref="L46">
    <cfRule type="dataBar" priority="24">
      <dataBar>
        <cfvo type="num" val="0"/>
        <cfvo type="num" val="1"/>
        <color rgb="FF9AC7F0"/>
      </dataBar>
      <extLst>
        <ext xmlns:x14="http://schemas.microsoft.com/office/spreadsheetml/2009/9/main" uri="{B025F937-C7B1-47D3-B67F-A62EFF666E3E}">
          <x14:id>{F5EE0B43-4D1B-480E-88EC-684D16D65BB3}</x14:id>
        </ext>
      </extLst>
    </cfRule>
  </conditionalFormatting>
  <conditionalFormatting sqref="N44">
    <cfRule type="cellIs" dxfId="1350" priority="25" stopIfTrue="1" operator="greaterThanOrEqual">
      <formula>""</formula>
    </cfRule>
    <cfRule type="cellIs" dxfId="1349" priority="27" stopIfTrue="1" operator="greaterThan">
      <formula>0</formula>
    </cfRule>
    <cfRule type="cellIs" dxfId="1348" priority="28" stopIfTrue="1" operator="lessThanOrEqual">
      <formula>0</formula>
    </cfRule>
  </conditionalFormatting>
  <conditionalFormatting sqref="N45">
    <cfRule type="cellIs" dxfId="1347" priority="29" stopIfTrue="1" operator="greaterThanOrEqual">
      <formula>""</formula>
    </cfRule>
    <cfRule type="cellIs" dxfId="1346" priority="31" stopIfTrue="1" operator="greaterThan">
      <formula>0</formula>
    </cfRule>
    <cfRule type="cellIs" dxfId="1345" priority="32" stopIfTrue="1" operator="lessThanOrEqual">
      <formula>0</formula>
    </cfRule>
  </conditionalFormatting>
  <conditionalFormatting sqref="L48">
    <cfRule type="dataBar" priority="33">
      <dataBar>
        <cfvo type="num" val="0"/>
        <cfvo type="num" val="1"/>
        <color rgb="FF9AC7F0"/>
      </dataBar>
      <extLst>
        <ext xmlns:x14="http://schemas.microsoft.com/office/spreadsheetml/2009/9/main" uri="{B025F937-C7B1-47D3-B67F-A62EFF666E3E}">
          <x14:id>{6DA1DB75-4510-441A-A74A-E957C3733352}</x14:id>
        </ext>
      </extLst>
    </cfRule>
  </conditionalFormatting>
  <conditionalFormatting sqref="L49">
    <cfRule type="dataBar" priority="34">
      <dataBar>
        <cfvo type="num" val="0"/>
        <cfvo type="num" val="1"/>
        <color rgb="FF9AC7F0"/>
      </dataBar>
      <extLst>
        <ext xmlns:x14="http://schemas.microsoft.com/office/spreadsheetml/2009/9/main" uri="{B025F937-C7B1-47D3-B67F-A62EFF666E3E}">
          <x14:id>{74C77B7E-02B9-4519-8FCC-07F331E27516}</x14:id>
        </ext>
      </extLst>
    </cfRule>
  </conditionalFormatting>
  <conditionalFormatting sqref="L50">
    <cfRule type="dataBar" priority="35">
      <dataBar>
        <cfvo type="num" val="0"/>
        <cfvo type="num" val="1"/>
        <color rgb="FF9AC7F0"/>
      </dataBar>
      <extLst>
        <ext xmlns:x14="http://schemas.microsoft.com/office/spreadsheetml/2009/9/main" uri="{B025F937-C7B1-47D3-B67F-A62EFF666E3E}">
          <x14:id>{23BE6937-E0B9-406A-ABB8-0A1CA21F969F}</x14:id>
        </ext>
      </extLst>
    </cfRule>
  </conditionalFormatting>
  <conditionalFormatting sqref="N48">
    <cfRule type="cellIs" dxfId="1344" priority="36" stopIfTrue="1" operator="greaterThanOrEqual">
      <formula>""</formula>
    </cfRule>
    <cfRule type="cellIs" dxfId="1343" priority="38" stopIfTrue="1" operator="greaterThan">
      <formula>0</formula>
    </cfRule>
    <cfRule type="cellIs" dxfId="1342" priority="39" stopIfTrue="1" operator="lessThanOrEqual">
      <formula>0</formula>
    </cfRule>
  </conditionalFormatting>
  <conditionalFormatting sqref="N49">
    <cfRule type="cellIs" dxfId="1341" priority="40" stopIfTrue="1" operator="greaterThanOrEqual">
      <formula>""</formula>
    </cfRule>
    <cfRule type="cellIs" dxfId="1340" priority="42" stopIfTrue="1" operator="greaterThan">
      <formula>0</formula>
    </cfRule>
    <cfRule type="cellIs" dxfId="1339" priority="43" stopIfTrue="1" operator="lessThanOrEqual">
      <formula>0</formula>
    </cfRule>
  </conditionalFormatting>
  <conditionalFormatting sqref="L52">
    <cfRule type="dataBar" priority="44">
      <dataBar>
        <cfvo type="num" val="0"/>
        <cfvo type="num" val="1"/>
        <color rgb="FF9AC7F0"/>
      </dataBar>
      <extLst>
        <ext xmlns:x14="http://schemas.microsoft.com/office/spreadsheetml/2009/9/main" uri="{B025F937-C7B1-47D3-B67F-A62EFF666E3E}">
          <x14:id>{F12E01C8-43DB-4745-B2BC-167A14ACFDD7}</x14:id>
        </ext>
      </extLst>
    </cfRule>
  </conditionalFormatting>
  <conditionalFormatting sqref="L53">
    <cfRule type="dataBar" priority="45">
      <dataBar>
        <cfvo type="num" val="0"/>
        <cfvo type="num" val="1"/>
        <color rgb="FF9AC7F0"/>
      </dataBar>
      <extLst>
        <ext xmlns:x14="http://schemas.microsoft.com/office/spreadsheetml/2009/9/main" uri="{B025F937-C7B1-47D3-B67F-A62EFF666E3E}">
          <x14:id>{A8FC40D3-481A-41D9-9708-7CE72AA60065}</x14:id>
        </ext>
      </extLst>
    </cfRule>
  </conditionalFormatting>
  <conditionalFormatting sqref="L54">
    <cfRule type="dataBar" priority="46">
      <dataBar>
        <cfvo type="num" val="0"/>
        <cfvo type="num" val="1"/>
        <color rgb="FF9AC7F0"/>
      </dataBar>
      <extLst>
        <ext xmlns:x14="http://schemas.microsoft.com/office/spreadsheetml/2009/9/main" uri="{B025F937-C7B1-47D3-B67F-A62EFF666E3E}">
          <x14:id>{B4E48EA8-0C61-4BF0-B021-8591BCB48D7F}</x14:id>
        </ext>
      </extLst>
    </cfRule>
  </conditionalFormatting>
  <conditionalFormatting sqref="N52">
    <cfRule type="cellIs" dxfId="1338" priority="47" stopIfTrue="1" operator="greaterThanOrEqual">
      <formula>""</formula>
    </cfRule>
    <cfRule type="cellIs" dxfId="1337" priority="49" stopIfTrue="1" operator="greaterThan">
      <formula>0</formula>
    </cfRule>
    <cfRule type="cellIs" dxfId="1336" priority="50" stopIfTrue="1" operator="lessThanOrEqual">
      <formula>0</formula>
    </cfRule>
  </conditionalFormatting>
  <conditionalFormatting sqref="N53">
    <cfRule type="cellIs" dxfId="1335" priority="51" stopIfTrue="1" operator="greaterThanOrEqual">
      <formula>""</formula>
    </cfRule>
    <cfRule type="cellIs" dxfId="1334" priority="53" stopIfTrue="1" operator="greaterThan">
      <formula>0</formula>
    </cfRule>
    <cfRule type="cellIs" dxfId="1333" priority="54" stopIfTrue="1" operator="lessThanOrEqual">
      <formula>0</formula>
    </cfRule>
  </conditionalFormatting>
  <conditionalFormatting sqref="L56">
    <cfRule type="dataBar" priority="55">
      <dataBar>
        <cfvo type="num" val="0"/>
        <cfvo type="num" val="1"/>
        <color rgb="FF9AC7F0"/>
      </dataBar>
      <extLst>
        <ext xmlns:x14="http://schemas.microsoft.com/office/spreadsheetml/2009/9/main" uri="{B025F937-C7B1-47D3-B67F-A62EFF666E3E}">
          <x14:id>{1D6C7EFC-BEB9-464A-8686-66B045D1F75D}</x14:id>
        </ext>
      </extLst>
    </cfRule>
  </conditionalFormatting>
  <conditionalFormatting sqref="L57">
    <cfRule type="dataBar" priority="56">
      <dataBar>
        <cfvo type="num" val="0"/>
        <cfvo type="num" val="1"/>
        <color rgb="FF9AC7F0"/>
      </dataBar>
      <extLst>
        <ext xmlns:x14="http://schemas.microsoft.com/office/spreadsheetml/2009/9/main" uri="{B025F937-C7B1-47D3-B67F-A62EFF666E3E}">
          <x14:id>{F48DB2E5-BAE6-4868-9E3E-8B109CDB9127}</x14:id>
        </ext>
      </extLst>
    </cfRule>
  </conditionalFormatting>
  <conditionalFormatting sqref="L58">
    <cfRule type="dataBar" priority="57">
      <dataBar>
        <cfvo type="num" val="0"/>
        <cfvo type="num" val="1"/>
        <color rgb="FF9AC7F0"/>
      </dataBar>
      <extLst>
        <ext xmlns:x14="http://schemas.microsoft.com/office/spreadsheetml/2009/9/main" uri="{B025F937-C7B1-47D3-B67F-A62EFF666E3E}">
          <x14:id>{FC4CF65E-E6B8-40A6-A541-8C528716EF18}</x14:id>
        </ext>
      </extLst>
    </cfRule>
  </conditionalFormatting>
  <conditionalFormatting sqref="N56">
    <cfRule type="cellIs" dxfId="1332" priority="58" stopIfTrue="1" operator="greaterThanOrEqual">
      <formula>""</formula>
    </cfRule>
  </conditionalFormatting>
  <conditionalFormatting sqref="N56">
    <cfRule type="cellIs" dxfId="1331" priority="60" stopIfTrue="1" operator="greaterThan">
      <formula>0</formula>
    </cfRule>
  </conditionalFormatting>
  <conditionalFormatting sqref="N56">
    <cfRule type="cellIs" dxfId="1330" priority="61" stopIfTrue="1" operator="lessThanOrEqual">
      <formula>0</formula>
    </cfRule>
  </conditionalFormatting>
  <conditionalFormatting sqref="N57">
    <cfRule type="cellIs" dxfId="1329" priority="62" stopIfTrue="1" operator="greaterThanOrEqual">
      <formula>""</formula>
    </cfRule>
  </conditionalFormatting>
  <conditionalFormatting sqref="N57">
    <cfRule type="cellIs" dxfId="1328" priority="64" stopIfTrue="1" operator="greaterThan">
      <formula>0</formula>
    </cfRule>
  </conditionalFormatting>
  <conditionalFormatting sqref="N57">
    <cfRule type="cellIs" dxfId="1327" priority="65" stopIfTrue="1" operator="lessThanOrEqual">
      <formula>0</formula>
    </cfRule>
  </conditionalFormatting>
  <dataValidations count="10">
    <dataValidation allowBlank="1" showInputMessage="1" showErrorMessage="1" prompt="Projektende aus Conaktiv" sqref="D15" xr:uid="{B61847D4-2F01-4C76-A79C-52320B4A53A1}"/>
    <dataValidation allowBlank="1" showInputMessage="1" showErrorMessage="1" prompt="Projektstart aus Conaktiv" sqref="D14" xr:uid="{FB3CEDA1-95F9-4E3B-B65F-B5DAE5414288}"/>
    <dataValidation allowBlank="1" showInputMessage="1" showErrorMessage="1" prompt="Geplantes Budget aus Conaktiv" sqref="D16" xr:uid="{C558AADF-7BDC-4A79-AD7A-049135006CC9}"/>
    <dataValidation allowBlank="1" showInputMessage="1" showErrorMessage="1" prompt="Nettoarbeitstage vom Startdatum bis zum Enddatum." sqref="D11:D12" xr:uid="{48673E1D-CFCD-493F-BE6B-E40C7B8A52C5}"/>
    <dataValidation allowBlank="1" showInputMessage="1" showErrorMessage="1" prompt="Zeitlicher Fortschritt des Projekts" sqref="D13" xr:uid="{0DCA8942-27CA-46D0-BB4C-048316292A53}"/>
    <dataValidation allowBlank="1" showInputMessage="1" showErrorMessage="1" prompt="Ist-/Restbudget aus Conaktiv" sqref="D17" xr:uid="{C65F1E07-6BC1-4789-A82D-59563D0DF040}"/>
    <dataValidation allowBlank="1" showInputMessage="1" showErrorMessage="1" prompt="Berechnetes Enddatum nach dem Budgetrest" sqref="D19:D20" xr:uid="{762EEE32-B60C-43CB-83C8-F512AB89D689}"/>
    <dataValidation allowBlank="1" showInputMessage="1" showErrorMessage="1" prompt="Budgetfortschritt nach Conaktiv" sqref="D18" xr:uid="{3235EA36-B29A-49AF-9FA3-7AEE0472D906}"/>
    <dataValidation allowBlank="1" showInputMessage="1" showErrorMessage="1" prompt="Mittlere FTE der letzten 4 KW" sqref="D23" xr:uid="{734B9DB3-60F1-4F77-AABF-2EBB8DD705A5}"/>
    <dataValidation allowBlank="1" showInputMessage="1" showErrorMessage="1" prompt="Soll-/Ist-FTE des gesamten Projekts" sqref="D21" xr:uid="{26EE20DA-3929-40D9-BEC3-2A1CCBFFEF22}"/>
  </dataValidation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1035" r:id="rId4" name="CB_Alle">
          <controlPr defaultSize="0" autoLine="0" r:id="rId5">
            <anchor moveWithCells="1">
              <from>
                <xdr:col>8</xdr:col>
                <xdr:colOff>114300</xdr:colOff>
                <xdr:row>34</xdr:row>
                <xdr:rowOff>247650</xdr:rowOff>
              </from>
              <to>
                <xdr:col>9</xdr:col>
                <xdr:colOff>0</xdr:colOff>
                <xdr:row>35</xdr:row>
                <xdr:rowOff>190500</xdr:rowOff>
              </to>
            </anchor>
          </controlPr>
        </control>
      </mc:Choice>
      <mc:Fallback>
        <control shapeId="1035" r:id="rId4" name="CB_Alle"/>
      </mc:Fallback>
    </mc:AlternateContent>
    <mc:AlternateContent xmlns:mc="http://schemas.openxmlformats.org/markup-compatibility/2006">
      <mc:Choice Requires="x14">
        <control shapeId="1036" r:id="rId6" name="CB_Abruf">
          <controlPr defaultSize="0" autoLine="0" autoPict="0" r:id="rId7">
            <anchor moveWithCells="1">
              <from>
                <xdr:col>9</xdr:col>
                <xdr:colOff>66675</xdr:colOff>
                <xdr:row>35</xdr:row>
                <xdr:rowOff>47625</xdr:rowOff>
              </from>
              <to>
                <xdr:col>9</xdr:col>
                <xdr:colOff>1466850</xdr:colOff>
                <xdr:row>35</xdr:row>
                <xdr:rowOff>371475</xdr:rowOff>
              </to>
            </anchor>
          </controlPr>
        </control>
      </mc:Choice>
      <mc:Fallback>
        <control shapeId="1036" r:id="rId6" name="CB_Abruf"/>
      </mc:Fallback>
    </mc:AlternateContent>
    <mc:AlternateContent xmlns:mc="http://schemas.openxmlformats.org/markup-compatibility/2006">
      <mc:Choice Requires="x14">
        <control shapeId="1037" r:id="rId8" name="CB_Inkrement">
          <controlPr defaultSize="0" autoLine="0" r:id="rId9">
            <anchor moveWithCells="1">
              <from>
                <xdr:col>10</xdr:col>
                <xdr:colOff>57150</xdr:colOff>
                <xdr:row>35</xdr:row>
                <xdr:rowOff>38100</xdr:rowOff>
              </from>
              <to>
                <xdr:col>10</xdr:col>
                <xdr:colOff>1771650</xdr:colOff>
                <xdr:row>35</xdr:row>
                <xdr:rowOff>361950</xdr:rowOff>
              </to>
            </anchor>
          </controlPr>
        </control>
      </mc:Choice>
      <mc:Fallback>
        <control shapeId="1037" r:id="rId8" name="CB_Inkrement"/>
      </mc:Fallback>
    </mc:AlternateContent>
    <mc:AlternateContent xmlns:mc="http://schemas.openxmlformats.org/markup-compatibility/2006">
      <mc:Choice Requires="x14">
        <control shapeId="1038" r:id="rId10" name="CB_BacklogInk">
          <controlPr defaultSize="0" autoLine="0" r:id="rId11">
            <anchor moveWithCells="1">
              <from>
                <xdr:col>11</xdr:col>
                <xdr:colOff>85725</xdr:colOff>
                <xdr:row>35</xdr:row>
                <xdr:rowOff>38100</xdr:rowOff>
              </from>
              <to>
                <xdr:col>11</xdr:col>
                <xdr:colOff>1866900</xdr:colOff>
                <xdr:row>35</xdr:row>
                <xdr:rowOff>361950</xdr:rowOff>
              </to>
            </anchor>
          </controlPr>
        </control>
      </mc:Choice>
      <mc:Fallback>
        <control shapeId="1038" r:id="rId10" name="CB_BacklogInk"/>
      </mc:Fallback>
    </mc:AlternateContent>
    <mc:AlternateContent xmlns:mc="http://schemas.openxmlformats.org/markup-compatibility/2006">
      <mc:Choice Requires="x14">
        <control shapeId="1039" r:id="rId12" name="CB_Backlog">
          <controlPr defaultSize="0" autoLine="0" autoPict="0" r:id="rId13">
            <anchor moveWithCells="1">
              <from>
                <xdr:col>11</xdr:col>
                <xdr:colOff>85725</xdr:colOff>
                <xdr:row>34</xdr:row>
                <xdr:rowOff>47625</xdr:rowOff>
              </from>
              <to>
                <xdr:col>11</xdr:col>
                <xdr:colOff>1866900</xdr:colOff>
                <xdr:row>34</xdr:row>
                <xdr:rowOff>371475</xdr:rowOff>
              </to>
            </anchor>
          </controlPr>
        </control>
      </mc:Choice>
      <mc:Fallback>
        <control shapeId="1039" r:id="rId12" name="CB_Backlog"/>
      </mc:Fallback>
    </mc:AlternateContent>
    <mc:AlternateContent xmlns:mc="http://schemas.openxmlformats.org/markup-compatibility/2006">
      <mc:Choice Requires="x14">
        <control shapeId="1040" r:id="rId14" name="CB_Burndown_Work">
          <controlPr defaultSize="0" autoLine="0" r:id="rId15">
            <anchor moveWithCells="1">
              <from>
                <xdr:col>10</xdr:col>
                <xdr:colOff>66675</xdr:colOff>
                <xdr:row>34</xdr:row>
                <xdr:rowOff>38100</xdr:rowOff>
              </from>
              <to>
                <xdr:col>10</xdr:col>
                <xdr:colOff>1781175</xdr:colOff>
                <xdr:row>34</xdr:row>
                <xdr:rowOff>361950</xdr:rowOff>
              </to>
            </anchor>
          </controlPr>
        </control>
      </mc:Choice>
      <mc:Fallback>
        <control shapeId="1040" r:id="rId14" name="CB_Burndown_Work"/>
      </mc:Fallback>
    </mc:AlternateContent>
    <mc:AlternateContent xmlns:mc="http://schemas.openxmlformats.org/markup-compatibility/2006">
      <mc:Choice Requires="x14">
        <control shapeId="1041" r:id="rId16" name="CB_Soll">
          <controlPr defaultSize="0" autoLine="0" autoPict="0" r:id="rId17">
            <anchor moveWithCells="1">
              <from>
                <xdr:col>9</xdr:col>
                <xdr:colOff>66675</xdr:colOff>
                <xdr:row>36</xdr:row>
                <xdr:rowOff>38100</xdr:rowOff>
              </from>
              <to>
                <xdr:col>9</xdr:col>
                <xdr:colOff>1466850</xdr:colOff>
                <xdr:row>36</xdr:row>
                <xdr:rowOff>361950</xdr:rowOff>
              </to>
            </anchor>
          </controlPr>
        </control>
      </mc:Choice>
      <mc:Fallback>
        <control shapeId="1041" r:id="rId16" name="CB_Soll"/>
      </mc:Fallback>
    </mc:AlternateContent>
    <mc:AlternateContent xmlns:mc="http://schemas.openxmlformats.org/markup-compatibility/2006">
      <mc:Choice Requires="x14">
        <control shapeId="1042" r:id="rId18" name="CB_Burndown_Auftrag">
          <controlPr defaultSize="0" autoLine="0" autoPict="0" r:id="rId19">
            <anchor moveWithCells="1">
              <from>
                <xdr:col>9</xdr:col>
                <xdr:colOff>66675</xdr:colOff>
                <xdr:row>34</xdr:row>
                <xdr:rowOff>38100</xdr:rowOff>
              </from>
              <to>
                <xdr:col>9</xdr:col>
                <xdr:colOff>1466850</xdr:colOff>
                <xdr:row>34</xdr:row>
                <xdr:rowOff>371475</xdr:rowOff>
              </to>
            </anchor>
          </controlPr>
        </control>
      </mc:Choice>
      <mc:Fallback>
        <control shapeId="1042" r:id="rId18" name="CB_Burndown_Auftrag"/>
      </mc:Fallback>
    </mc:AlternateContent>
    <mc:AlternateContent xmlns:mc="http://schemas.openxmlformats.org/markup-compatibility/2006">
      <mc:Choice Requires="x14">
        <control shapeId="1043" r:id="rId20" name="CB_Prognose">
          <controlPr defaultSize="0" autoLine="0" r:id="rId21">
            <anchor moveWithCells="1">
              <from>
                <xdr:col>12</xdr:col>
                <xdr:colOff>171450</xdr:colOff>
                <xdr:row>34</xdr:row>
                <xdr:rowOff>76200</xdr:rowOff>
              </from>
              <to>
                <xdr:col>13</xdr:col>
                <xdr:colOff>838200</xdr:colOff>
                <xdr:row>35</xdr:row>
                <xdr:rowOff>19050</xdr:rowOff>
              </to>
            </anchor>
          </controlPr>
        </control>
      </mc:Choice>
      <mc:Fallback>
        <control shapeId="1043" r:id="rId20" name="CB_Prognose"/>
      </mc:Fallback>
    </mc:AlternateContent>
    <mc:AlternateContent xmlns:mc="http://schemas.openxmlformats.org/markup-compatibility/2006">
      <mc:Choice Requires="x14">
        <control shapeId="1044" r:id="rId22" name="CB_Prognose_4KW">
          <controlPr defaultSize="0" autoLine="0" r:id="rId23">
            <anchor moveWithCells="1">
              <from>
                <xdr:col>12</xdr:col>
                <xdr:colOff>161925</xdr:colOff>
                <xdr:row>35</xdr:row>
                <xdr:rowOff>76200</xdr:rowOff>
              </from>
              <to>
                <xdr:col>13</xdr:col>
                <xdr:colOff>828675</xdr:colOff>
                <xdr:row>36</xdr:row>
                <xdr:rowOff>19050</xdr:rowOff>
              </to>
            </anchor>
          </controlPr>
        </control>
      </mc:Choice>
      <mc:Fallback>
        <control shapeId="1044" r:id="rId22" name="CB_Prognose_4KW"/>
      </mc:Fallback>
    </mc:AlternateContent>
  </controls>
  <extLst>
    <ext xmlns:x14="http://schemas.microsoft.com/office/spreadsheetml/2009/9/main" uri="{78C0D931-6437-407d-A8EE-F0AAD7539E65}">
      <x14:conditionalFormattings>
        <x14:conditionalFormatting xmlns:xm="http://schemas.microsoft.com/office/excel/2006/main">
          <x14:cfRule type="dataBar" id="{AED4F126-70EC-4098-B562-B7E634AF108E}">
            <x14:dataBar minLength="0" maxLength="100" gradient="0">
              <x14:cfvo type="num">
                <xm:f>0</xm:f>
              </x14:cfvo>
              <x14:cfvo type="num">
                <xm:f>1</xm:f>
              </x14:cfvo>
              <x14:negativeFillColor rgb="FFFF0000"/>
              <x14:axisColor rgb="FF000000"/>
            </x14:dataBar>
          </x14:cfRule>
          <xm:sqref>F13</xm:sqref>
        </x14:conditionalFormatting>
        <x14:conditionalFormatting xmlns:xm="http://schemas.microsoft.com/office/excel/2006/main">
          <x14:cfRule type="dataBar" id="{CDB2A955-608B-45B5-99C6-5E068CA4523C}">
            <x14:dataBar minLength="0" maxLength="100" gradient="0">
              <x14:cfvo type="num">
                <xm:f>0</xm:f>
              </x14:cfvo>
              <x14:cfvo type="num">
                <xm:f>1</xm:f>
              </x14:cfvo>
              <x14:negativeFillColor rgb="FFFF0000"/>
              <x14:axisColor rgb="FF000000"/>
            </x14:dataBar>
          </x14:cfRule>
          <xm:sqref>F18</xm:sqref>
        </x14:conditionalFormatting>
        <x14:conditionalFormatting xmlns:xm="http://schemas.microsoft.com/office/excel/2006/main">
          <x14:cfRule type="dataBar" id="{DE68457B-FBF9-476F-8443-ED71E6B7D9BA}">
            <x14:dataBar minLength="0" maxLength="100" gradient="0" negativeBarColorSameAsPositive="1" axisPosition="none">
              <x14:cfvo type="num">
                <xm:f>0</xm:f>
              </x14:cfvo>
              <x14:cfvo type="num">
                <xm:f>1</xm:f>
              </x14:cfvo>
            </x14:dataBar>
          </x14:cfRule>
          <xm:sqref>L47:L58 F27</xm:sqref>
        </x14:conditionalFormatting>
        <x14:conditionalFormatting xmlns:xm="http://schemas.microsoft.com/office/excel/2006/main">
          <x14:cfRule type="dataBar" id="{AFD8C192-17FD-48E4-A1A6-955D79B24443}">
            <x14:dataBar minLength="0" maxLength="100" gradient="0" negativeBarColorSameAsPositive="1" axisPosition="none">
              <x14:cfvo type="num">
                <xm:f>0</xm:f>
              </x14:cfvo>
              <x14:cfvo type="num">
                <xm:f>1</xm:f>
              </x14:cfvo>
            </x14:dataBar>
          </x14:cfRule>
          <xm:sqref>L44</xm:sqref>
        </x14:conditionalFormatting>
        <x14:conditionalFormatting xmlns:xm="http://schemas.microsoft.com/office/excel/2006/main">
          <x14:cfRule type="dataBar" id="{B19ABD10-177D-405B-8BBC-489EA87E3C3B}">
            <x14:dataBar minLength="0" maxLength="100" gradient="0" negativeBarColorSameAsPositive="1" axisPosition="none">
              <x14:cfvo type="num">
                <xm:f>0</xm:f>
              </x14:cfvo>
              <x14:cfvo type="num">
                <xm:f>1</xm:f>
              </x14:cfvo>
            </x14:dataBar>
          </x14:cfRule>
          <xm:sqref>L45</xm:sqref>
        </x14:conditionalFormatting>
        <x14:conditionalFormatting xmlns:xm="http://schemas.microsoft.com/office/excel/2006/main">
          <x14:cfRule type="dataBar" id="{F5EE0B43-4D1B-480E-88EC-684D16D65BB3}">
            <x14:dataBar minLength="0" maxLength="100" gradient="0" negativeBarColorSameAsPositive="1" axisPosition="none">
              <x14:cfvo type="num">
                <xm:f>0</xm:f>
              </x14:cfvo>
              <x14:cfvo type="num">
                <xm:f>1</xm:f>
              </x14:cfvo>
            </x14:dataBar>
          </x14:cfRule>
          <xm:sqref>L46</xm:sqref>
        </x14:conditionalFormatting>
        <x14:conditionalFormatting xmlns:xm="http://schemas.microsoft.com/office/excel/2006/main">
          <x14:cfRule type="dataBar" id="{6DA1DB75-4510-441A-A74A-E957C3733352}">
            <x14:dataBar minLength="0" maxLength="100" gradient="0" negativeBarColorSameAsPositive="1" axisPosition="none">
              <x14:cfvo type="num">
                <xm:f>0</xm:f>
              </x14:cfvo>
              <x14:cfvo type="num">
                <xm:f>1</xm:f>
              </x14:cfvo>
            </x14:dataBar>
          </x14:cfRule>
          <xm:sqref>L48</xm:sqref>
        </x14:conditionalFormatting>
        <x14:conditionalFormatting xmlns:xm="http://schemas.microsoft.com/office/excel/2006/main">
          <x14:cfRule type="dataBar" id="{74C77B7E-02B9-4519-8FCC-07F331E27516}">
            <x14:dataBar minLength="0" maxLength="100" gradient="0" negativeBarColorSameAsPositive="1" axisPosition="none">
              <x14:cfvo type="num">
                <xm:f>0</xm:f>
              </x14:cfvo>
              <x14:cfvo type="num">
                <xm:f>1</xm:f>
              </x14:cfvo>
            </x14:dataBar>
          </x14:cfRule>
          <xm:sqref>L49</xm:sqref>
        </x14:conditionalFormatting>
        <x14:conditionalFormatting xmlns:xm="http://schemas.microsoft.com/office/excel/2006/main">
          <x14:cfRule type="dataBar" id="{23BE6937-E0B9-406A-ABB8-0A1CA21F969F}">
            <x14:dataBar minLength="0" maxLength="100" gradient="0" negativeBarColorSameAsPositive="1" axisPosition="none">
              <x14:cfvo type="num">
                <xm:f>0</xm:f>
              </x14:cfvo>
              <x14:cfvo type="num">
                <xm:f>1</xm:f>
              </x14:cfvo>
            </x14:dataBar>
          </x14:cfRule>
          <xm:sqref>L50</xm:sqref>
        </x14:conditionalFormatting>
        <x14:conditionalFormatting xmlns:xm="http://schemas.microsoft.com/office/excel/2006/main">
          <x14:cfRule type="dataBar" id="{F12E01C8-43DB-4745-B2BC-167A14ACFDD7}">
            <x14:dataBar minLength="0" maxLength="100" gradient="0" negativeBarColorSameAsPositive="1" axisPosition="none">
              <x14:cfvo type="num">
                <xm:f>0</xm:f>
              </x14:cfvo>
              <x14:cfvo type="num">
                <xm:f>1</xm:f>
              </x14:cfvo>
            </x14:dataBar>
          </x14:cfRule>
          <xm:sqref>L52</xm:sqref>
        </x14:conditionalFormatting>
        <x14:conditionalFormatting xmlns:xm="http://schemas.microsoft.com/office/excel/2006/main">
          <x14:cfRule type="dataBar" id="{A8FC40D3-481A-41D9-9708-7CE72AA60065}">
            <x14:dataBar minLength="0" maxLength="100" gradient="0" negativeBarColorSameAsPositive="1" axisPosition="none">
              <x14:cfvo type="num">
                <xm:f>0</xm:f>
              </x14:cfvo>
              <x14:cfvo type="num">
                <xm:f>1</xm:f>
              </x14:cfvo>
            </x14:dataBar>
          </x14:cfRule>
          <xm:sqref>L53</xm:sqref>
        </x14:conditionalFormatting>
        <x14:conditionalFormatting xmlns:xm="http://schemas.microsoft.com/office/excel/2006/main">
          <x14:cfRule type="dataBar" id="{B4E48EA8-0C61-4BF0-B021-8591BCB48D7F}">
            <x14:dataBar minLength="0" maxLength="100" gradient="0" negativeBarColorSameAsPositive="1" axisPosition="none">
              <x14:cfvo type="num">
                <xm:f>0</xm:f>
              </x14:cfvo>
              <x14:cfvo type="num">
                <xm:f>1</xm:f>
              </x14:cfvo>
            </x14:dataBar>
          </x14:cfRule>
          <xm:sqref>L54</xm:sqref>
        </x14:conditionalFormatting>
        <x14:conditionalFormatting xmlns:xm="http://schemas.microsoft.com/office/excel/2006/main">
          <x14:cfRule type="dataBar" id="{1D6C7EFC-BEB9-464A-8686-66B045D1F75D}">
            <x14:dataBar minLength="0" maxLength="100" gradient="0" negativeBarColorSameAsPositive="1" axisPosition="none">
              <x14:cfvo type="num">
                <xm:f>0</xm:f>
              </x14:cfvo>
              <x14:cfvo type="num">
                <xm:f>1</xm:f>
              </x14:cfvo>
            </x14:dataBar>
          </x14:cfRule>
          <xm:sqref>L56</xm:sqref>
        </x14:conditionalFormatting>
        <x14:conditionalFormatting xmlns:xm="http://schemas.microsoft.com/office/excel/2006/main">
          <x14:cfRule type="dataBar" id="{F48DB2E5-BAE6-4868-9E3E-8B109CDB9127}">
            <x14:dataBar minLength="0" maxLength="100" gradient="0" negativeBarColorSameAsPositive="1" axisPosition="none">
              <x14:cfvo type="num">
                <xm:f>0</xm:f>
              </x14:cfvo>
              <x14:cfvo type="num">
                <xm:f>1</xm:f>
              </x14:cfvo>
            </x14:dataBar>
          </x14:cfRule>
          <xm:sqref>L57</xm:sqref>
        </x14:conditionalFormatting>
        <x14:conditionalFormatting xmlns:xm="http://schemas.microsoft.com/office/excel/2006/main">
          <x14:cfRule type="dataBar" id="{FC4CF65E-E6B8-40A6-A541-8C528716EF18}">
            <x14:dataBar minLength="0" maxLength="100" gradient="0" negativeBarColorSameAsPositive="1" axisPosition="none">
              <x14:cfvo type="num">
                <xm:f>0</xm:f>
              </x14:cfvo>
              <x14:cfvo type="num">
                <xm:f>1</xm:f>
              </x14:cfvo>
            </x14:dataBar>
          </x14:cfRule>
          <xm:sqref>L58</xm:sqref>
        </x14:conditionalFormatting>
        <x14:conditionalFormatting xmlns:xm="http://schemas.microsoft.com/office/excel/2006/main">
          <x14:cfRule type="cellIs" priority="26" stopIfTrue="1" operator="greaterThanOrEqual" id="{2B16F7D0-D3D0-4E6A-BE83-32F9A21ABEC8}">
            <xm:f>Projekteinstellungen!$C$9</xm:f>
            <x14:dxf>
              <font>
                <color rgb="FF000000"/>
              </font>
              <fill>
                <patternFill>
                  <bgColor rgb="FFF55F5F"/>
                </patternFill>
              </fill>
            </x14:dxf>
          </x14:cfRule>
          <xm:sqref>N44</xm:sqref>
        </x14:conditionalFormatting>
        <x14:conditionalFormatting xmlns:xm="http://schemas.microsoft.com/office/excel/2006/main">
          <x14:cfRule type="cellIs" priority="30" stopIfTrue="1" operator="greaterThanOrEqual" id="{874B2904-84CB-4645-9E23-3185FCBF72AF}">
            <xm:f>Projekteinstellungen!$C$9</xm:f>
            <x14:dxf>
              <font>
                <color rgb="FF000000"/>
              </font>
              <fill>
                <patternFill>
                  <bgColor rgb="FFF55F5F"/>
                </patternFill>
              </fill>
            </x14:dxf>
          </x14:cfRule>
          <xm:sqref>N45</xm:sqref>
        </x14:conditionalFormatting>
        <x14:conditionalFormatting xmlns:xm="http://schemas.microsoft.com/office/excel/2006/main">
          <x14:cfRule type="cellIs" priority="37" stopIfTrue="1" operator="greaterThanOrEqual" id="{481CE9A3-6277-4578-9B55-123BF27EED02}">
            <xm:f>Projekteinstellungen!$C$9</xm:f>
            <x14:dxf>
              <font>
                <color rgb="FF000000"/>
              </font>
              <fill>
                <patternFill>
                  <bgColor rgb="FFF55F5F"/>
                </patternFill>
              </fill>
            </x14:dxf>
          </x14:cfRule>
          <xm:sqref>N48</xm:sqref>
        </x14:conditionalFormatting>
        <x14:conditionalFormatting xmlns:xm="http://schemas.microsoft.com/office/excel/2006/main">
          <x14:cfRule type="cellIs" priority="41" stopIfTrue="1" operator="greaterThanOrEqual" id="{28E61D3F-E85E-4A80-975D-42DD790F9AE3}">
            <xm:f>Projekteinstellungen!$C$9</xm:f>
            <x14:dxf>
              <font>
                <color rgb="FF000000"/>
              </font>
              <fill>
                <patternFill>
                  <bgColor rgb="FFF55F5F"/>
                </patternFill>
              </fill>
            </x14:dxf>
          </x14:cfRule>
          <xm:sqref>N49</xm:sqref>
        </x14:conditionalFormatting>
        <x14:conditionalFormatting xmlns:xm="http://schemas.microsoft.com/office/excel/2006/main">
          <x14:cfRule type="cellIs" priority="48" stopIfTrue="1" operator="greaterThanOrEqual" id="{17053045-2CA0-44A9-9263-CEE2BD30FD0C}">
            <xm:f>Projekteinstellungen!$C$9</xm:f>
            <x14:dxf>
              <font>
                <color rgb="FF000000"/>
              </font>
              <fill>
                <patternFill>
                  <bgColor rgb="FFF55F5F"/>
                </patternFill>
              </fill>
            </x14:dxf>
          </x14:cfRule>
          <xm:sqref>N52</xm:sqref>
        </x14:conditionalFormatting>
        <x14:conditionalFormatting xmlns:xm="http://schemas.microsoft.com/office/excel/2006/main">
          <x14:cfRule type="cellIs" priority="52" stopIfTrue="1" operator="greaterThanOrEqual" id="{28E6D8E1-A975-4F4F-8047-03E4E3847777}">
            <xm:f>Projekteinstellungen!$C$9</xm:f>
            <x14:dxf>
              <font>
                <color rgb="FF000000"/>
              </font>
              <fill>
                <patternFill>
                  <bgColor rgb="FFF55F5F"/>
                </patternFill>
              </fill>
            </x14:dxf>
          </x14:cfRule>
          <xm:sqref>N53</xm:sqref>
        </x14:conditionalFormatting>
        <x14:conditionalFormatting xmlns:xm="http://schemas.microsoft.com/office/excel/2006/main">
          <x14:cfRule type="cellIs" priority="59" stopIfTrue="1" operator="greaterThanOrEqual" id="{64CC7240-82CE-4C3D-A227-94EAE4258F2C}">
            <xm:f>Projekteinstellungen!$C$9</xm:f>
            <x14:dxf>
              <font>
                <color rgb="FF000000"/>
              </font>
              <fill>
                <patternFill>
                  <bgColor rgb="FFF55F5F"/>
                </patternFill>
              </fill>
            </x14:dxf>
          </x14:cfRule>
          <xm:sqref>N56</xm:sqref>
        </x14:conditionalFormatting>
        <x14:conditionalFormatting xmlns:xm="http://schemas.microsoft.com/office/excel/2006/main">
          <x14:cfRule type="cellIs" priority="63" stopIfTrue="1" operator="greaterThanOrEqual" id="{BE5CF13A-D34D-41D0-95AB-687585856B67}">
            <xm:f>Projekteinstellungen!$C$9</xm:f>
            <x14:dxf>
              <font>
                <color rgb="FF000000"/>
              </font>
              <fill>
                <patternFill>
                  <bgColor rgb="FFF55F5F"/>
                </patternFill>
              </fill>
            </x14:dxf>
          </x14:cfRule>
          <xm:sqref>N57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14DA9-C745-4101-B568-BF088610C3A6}">
  <sheetPr codeName="Tabelle10">
    <outlinePr summaryBelow="0"/>
  </sheetPr>
  <dimension ref="A1:AC184"/>
  <sheetViews>
    <sheetView tabSelected="1" zoomScale="85" zoomScaleNormal="85" workbookViewId="0">
      <pane ySplit="6" topLeftCell="A127" activePane="bottomLeft" state="frozen"/>
      <selection pane="bottomLeft" activeCell="F147" sqref="F147"/>
    </sheetView>
  </sheetViews>
  <sheetFormatPr baseColWidth="10" defaultRowHeight="15" customHeight="1" outlineLevelRow="1" outlineLevelCol="1"/>
  <cols>
    <col min="1" max="1" width="2.7109375" style="267" customWidth="1"/>
    <col min="2" max="2" width="2" style="11" customWidth="1"/>
    <col min="3" max="3" width="1" style="11" customWidth="1"/>
    <col min="4" max="4" width="7.28515625" style="11" customWidth="1" collapsed="1"/>
    <col min="5" max="5" width="8.140625" style="11" hidden="1" customWidth="1" outlineLevel="1"/>
    <col min="6" max="6" width="39.42578125" style="11" customWidth="1" collapsed="1"/>
    <col min="7" max="7" width="39.42578125" style="11" customWidth="1"/>
    <col min="8" max="8" width="33.140625" style="11" customWidth="1"/>
    <col min="9" max="9" width="2.5703125" style="17" customWidth="1" outlineLevel="1"/>
    <col min="10" max="10" width="12.85546875" style="146" customWidth="1" outlineLevel="1"/>
    <col min="11" max="11" width="13.7109375" style="11" customWidth="1" outlineLevel="1"/>
    <col min="12" max="12" width="12.85546875" style="17" customWidth="1"/>
    <col min="13" max="13" width="12.7109375" style="11" customWidth="1"/>
    <col min="14" max="14" width="11.7109375" style="11" customWidth="1" collapsed="1"/>
    <col min="15" max="15" width="13.7109375" style="11" hidden="1" customWidth="1" outlineLevel="1"/>
    <col min="16" max="16" width="13.7109375" style="11" customWidth="1" collapsed="1"/>
    <col min="17" max="17" width="7.7109375" style="11" customWidth="1"/>
    <col min="18" max="20" width="11.7109375" style="11" customWidth="1"/>
    <col min="21" max="21" width="5" style="11" customWidth="1"/>
    <col min="22" max="23" width="9.42578125" style="11" customWidth="1"/>
    <col min="24" max="24" width="14.85546875" style="17" hidden="1" customWidth="1"/>
    <col min="25" max="25" width="11.42578125" style="17" hidden="1" customWidth="1"/>
    <col min="26" max="28" width="11.42578125" style="11" hidden="1" customWidth="1"/>
    <col min="29" max="16384" width="11.42578125" style="11"/>
  </cols>
  <sheetData>
    <row r="1" spans="1:29" s="12" customFormat="1" ht="29.45" customHeight="1">
      <c r="A1" s="431" t="s">
        <v>131</v>
      </c>
      <c r="B1" s="94"/>
      <c r="D1" s="9" t="s">
        <v>347</v>
      </c>
      <c r="E1" s="10" t="s">
        <v>137</v>
      </c>
      <c r="F1" s="10" t="s">
        <v>163</v>
      </c>
      <c r="G1" s="10" t="s">
        <v>39</v>
      </c>
      <c r="H1" s="10" t="s">
        <v>19</v>
      </c>
      <c r="I1" s="447" t="s">
        <v>164</v>
      </c>
      <c r="J1" s="448"/>
      <c r="K1" s="448"/>
      <c r="L1" s="448"/>
      <c r="M1" s="449"/>
      <c r="N1" s="10" t="s">
        <v>20</v>
      </c>
      <c r="O1" s="448" t="s">
        <v>13</v>
      </c>
      <c r="P1" s="449"/>
      <c r="Q1" s="117"/>
      <c r="R1" s="447" t="s">
        <v>134</v>
      </c>
      <c r="S1" s="449"/>
      <c r="T1" s="119"/>
      <c r="U1" s="118"/>
      <c r="V1" s="447" t="s">
        <v>14</v>
      </c>
      <c r="W1" s="448"/>
      <c r="X1" s="443" t="s">
        <v>47</v>
      </c>
      <c r="Y1" s="443"/>
      <c r="Z1" s="443" t="s">
        <v>100</v>
      </c>
      <c r="AA1" s="443"/>
      <c r="AB1" s="443"/>
      <c r="AC1" s="97"/>
    </row>
    <row r="2" spans="1:29" ht="17.25" customHeight="1" collapsed="1">
      <c r="A2" s="446"/>
      <c r="B2" s="94"/>
      <c r="D2" s="175"/>
      <c r="E2" s="176"/>
      <c r="F2" s="176"/>
      <c r="G2" s="176"/>
      <c r="H2" s="132"/>
      <c r="I2" s="124" t="s">
        <v>142</v>
      </c>
      <c r="J2" s="177" t="s">
        <v>141</v>
      </c>
      <c r="K2" s="178"/>
      <c r="L2" s="177" t="s">
        <v>38</v>
      </c>
      <c r="M2" s="124" t="s">
        <v>88</v>
      </c>
      <c r="N2" s="124"/>
      <c r="O2" s="124" t="s">
        <v>127</v>
      </c>
      <c r="P2" s="124" t="s">
        <v>151</v>
      </c>
      <c r="Q2" s="126"/>
      <c r="R2" s="127" t="s">
        <v>11</v>
      </c>
      <c r="S2" s="127" t="s">
        <v>12</v>
      </c>
      <c r="T2" s="127" t="s">
        <v>13</v>
      </c>
      <c r="U2" s="150"/>
      <c r="V2" s="444"/>
      <c r="W2" s="445"/>
      <c r="X2" s="16" t="s">
        <v>11</v>
      </c>
      <c r="Y2" s="17" t="s">
        <v>48</v>
      </c>
      <c r="Z2" s="17" t="str">
        <f>Pos_Hilfstabelle!$B$125</f>
        <v>on track</v>
      </c>
      <c r="AA2" s="17" t="str">
        <f>Pos_Hilfstabelle!$B$126</f>
        <v>critical</v>
      </c>
      <c r="AB2" s="17" t="str">
        <f>Pos_Hilfstabelle!$B$127</f>
        <v>overdue</v>
      </c>
    </row>
    <row r="3" spans="1:29" ht="19.5" hidden="1" customHeight="1" outlineLevel="1">
      <c r="A3" s="446"/>
      <c r="B3" s="94"/>
      <c r="D3" s="147"/>
      <c r="E3" s="147"/>
      <c r="F3" s="148"/>
      <c r="G3" s="148"/>
      <c r="H3" s="261"/>
      <c r="I3" s="259"/>
      <c r="J3" s="258"/>
      <c r="K3" s="237"/>
      <c r="L3" s="258"/>
      <c r="M3" s="237" t="str">
        <f ca="1">IF(ISBLANK(L3),"",NETWORKDAYS(TODAY(),L3))</f>
        <v/>
      </c>
      <c r="N3" s="256"/>
      <c r="O3" s="236"/>
      <c r="P3" s="236"/>
      <c r="Q3" s="130" t="s">
        <v>67</v>
      </c>
      <c r="R3" s="151">
        <f>IF(OR($J$3="",$L$3=""),0,NETWORKDAYS($J$3,$L$3))</f>
        <v>0</v>
      </c>
      <c r="S3" s="151">
        <f ca="1">IF(OR($J$3="",$L$3=""),0,NETWORKDAYS(TODAY(),$L$3))</f>
        <v>0</v>
      </c>
      <c r="T3" s="152">
        <f>IF(R3=0,0,(R3-S3)/R3)</f>
        <v>0</v>
      </c>
      <c r="U3" s="149"/>
      <c r="V3" s="61">
        <f ca="1">IFERROR(($R$3-$S$3)-($R$5-$S$5)*($R$3/$R$5),0)</f>
        <v>0</v>
      </c>
      <c r="W3" s="62" t="str">
        <f>IF($R$3=0,"",$V$3/$R$3)</f>
        <v/>
      </c>
      <c r="X3" s="17">
        <v>0</v>
      </c>
      <c r="Y3" s="17">
        <v>0</v>
      </c>
      <c r="Z3" s="17">
        <f ca="1">COUNTIF($Z$8:$Z$173,Pos_Hilfstabelle!$B$125)</f>
        <v>1</v>
      </c>
      <c r="AA3" s="17">
        <f ca="1">COUNTIF($Z$8:$Z$173,Pos_Hilfstabelle!$B$126)</f>
        <v>0</v>
      </c>
      <c r="AB3" s="17">
        <f ca="1">COUNTIF($Z$8:$Z$173,Pos_Hilfstabelle!$B$127)</f>
        <v>0</v>
      </c>
    </row>
    <row r="4" spans="1:29" ht="19.5" customHeight="1">
      <c r="A4" s="446"/>
      <c r="B4" s="94"/>
      <c r="G4" s="123"/>
      <c r="H4" s="260"/>
      <c r="L4" s="121"/>
      <c r="N4" s="257"/>
      <c r="Q4" s="130" t="s">
        <v>3</v>
      </c>
      <c r="R4" s="61">
        <f>Projekteinstellungen!$B$21*11181</f>
        <v>11181</v>
      </c>
      <c r="S4" s="61">
        <f>$R$4-Projekteinstellungen!$B$21*6354.42</f>
        <v>4826.58</v>
      </c>
      <c r="T4" s="152">
        <f>IF(R4=0,0,(R4-S4)/R4)</f>
        <v>0.56832304802790445</v>
      </c>
      <c r="U4" s="131"/>
      <c r="V4" s="61">
        <f>($R$4-$S$4)-($R$5-$S$5)</f>
        <v>6354.42</v>
      </c>
      <c r="W4" s="62">
        <f>IF($R$4=0,"",$V$4/$R$4)</f>
        <v>0.56832304802790445</v>
      </c>
      <c r="X4" s="17">
        <f>Projekteinstellungen!$B$21*11181</f>
        <v>11181</v>
      </c>
      <c r="Y4" s="17">
        <f>Projekteinstellungen!$B$21*5452.25</f>
        <v>5452.25</v>
      </c>
    </row>
    <row r="5" spans="1:29" ht="19.5" customHeight="1" thickBot="1">
      <c r="A5" s="266"/>
      <c r="B5" s="94"/>
      <c r="G5" s="123"/>
      <c r="L5" s="121"/>
      <c r="M5" s="122"/>
      <c r="Q5" s="128" t="s">
        <v>136</v>
      </c>
      <c r="R5" s="129">
        <f>SUM($R$9,$R$148)</f>
        <v>0</v>
      </c>
      <c r="S5" s="129">
        <f>SUM($S$9,$S$148)</f>
        <v>0</v>
      </c>
      <c r="T5" s="144">
        <f>IF(R5=0,0,(R5-S5)/R5)</f>
        <v>0</v>
      </c>
      <c r="U5" s="131"/>
      <c r="V5" s="125"/>
      <c r="W5" s="120"/>
      <c r="Z5" s="17"/>
      <c r="AA5" s="17"/>
      <c r="AB5" s="17"/>
    </row>
    <row r="6" spans="1:29" ht="15" customHeight="1">
      <c r="V6" s="71"/>
      <c r="W6" s="70"/>
      <c r="Z6" s="17"/>
    </row>
    <row r="7" spans="1:29" ht="15" customHeight="1" thickBot="1">
      <c r="V7" s="71"/>
      <c r="W7" s="70"/>
      <c r="Z7" s="17"/>
    </row>
    <row r="8" spans="1:29" ht="18" customHeight="1" thickBot="1">
      <c r="C8" s="192"/>
      <c r="D8" s="249" t="s">
        <v>111</v>
      </c>
      <c r="E8" s="249"/>
      <c r="F8" s="250" t="s">
        <v>265</v>
      </c>
      <c r="G8" s="251"/>
      <c r="H8" s="244"/>
      <c r="I8" s="244"/>
      <c r="J8" s="245"/>
      <c r="K8" s="246" t="str">
        <f ca="1">IF(OR(J8="",L8=""),"",IF(NETWORKDAYS(J8,TODAY())/NETWORKDAYS(J8,L8)&gt;1,1,NETWORKDAYS(J8,TODAY())/NETWORKDAYS(J8,L8)))</f>
        <v/>
      </c>
      <c r="L8" s="245"/>
      <c r="M8" s="247" t="str">
        <f ca="1">IF(T174&gt;=1,"Done",IF(ISBLANK(L8),"",NETWORKDAYS(TODAY(),L8)))</f>
        <v/>
      </c>
      <c r="N8" s="253"/>
      <c r="O8" s="253"/>
      <c r="P8" s="253"/>
      <c r="Q8" s="209" t="s">
        <v>3</v>
      </c>
      <c r="R8" s="208">
        <f>SUM($R$12,$R$17,$R$22,$R$27,$R$32,$R$37,$R$42,$R$47,$R$52,$R$57,$R$62,$R$67,$R$72,$R$77,$R$82,$R$87,$R$92,$R$97,$R$102,$R$107,$R$112,$R$117,$R$122,$R$127,$R$132,$R$137,$R$142)</f>
        <v>6688</v>
      </c>
      <c r="S8" s="208">
        <f>SUM($S$12,$S$17,$S$22,$S$27,$S$32,$S$37,$S$42,$S$47,$S$52,$S$57,$S$62,$S$67,$S$72,$S$77,$S$82,$S$87,$S$92,$S$97,$S$102,$S$107,$S$112,$S$117,$S$122,$S$127,$S$132,$S$137,$S$142)</f>
        <v>2987.5</v>
      </c>
      <c r="T8" s="206">
        <f>IF(R8=0,0,(R8-S8)/R8)</f>
        <v>0.55330442583732053</v>
      </c>
      <c r="U8" s="205"/>
      <c r="V8" s="199">
        <f>($R$8-$S$8)-($R$9-$S$9)</f>
        <v>3700.5</v>
      </c>
      <c r="W8" s="200">
        <f>IF($R$8=0,"",$V$8/$R$8)</f>
        <v>0.55330442583732053</v>
      </c>
      <c r="X8" s="17">
        <f>Projekteinstellungen!$B$21*6688</f>
        <v>6688</v>
      </c>
      <c r="Y8" s="17">
        <f>Projekteinstellungen!$B$21*0</f>
        <v>0</v>
      </c>
      <c r="Z8" s="66" t="str">
        <f ca="1">IF(M8="","tbd",IF(M8="Done","",IF(M8&lt;0,Pos_Hilfstabelle!$B$127,IF(M8-S8&lt;0,Pos_Hilfstabelle!$B$126,Pos_Hilfstabelle!$B$125))))</f>
        <v>tbd</v>
      </c>
    </row>
    <row r="9" spans="1:29" ht="18" customHeight="1" thickBot="1">
      <c r="C9" s="203"/>
      <c r="Q9" s="195" t="s">
        <v>136</v>
      </c>
      <c r="R9" s="208">
        <f>SUM($R$14,$R$19,$R$24,$R$29,$R$34,$R$39,$R$44,$R$49,$R$54,$R$59,$R$64,$R$69,$R$74,$R$79,$R$84,$R$89,$R$94,$R$99,$R$104,$R$109,$R$114,$R$119,$R$124,$R$129,$R$134,$R$139,$R$144)</f>
        <v>0</v>
      </c>
      <c r="S9" s="196">
        <f>SUM($S$14,$S$19,$S$24,$S$29,$S$34,$S$39,$S$44,$S$49,$S$54,$S$59,$S$64,$S$69,$S$74,$S$79,$S$84,$S$89,$S$94,$S$99,$S$104,$S$109,$S$114,$S$119,$S$124,$S$129,$S$134,$S$139,$S$144)</f>
        <v>0</v>
      </c>
      <c r="T9" s="197">
        <f>IF(R9=0,0,(R9-S9)/R9)</f>
        <v>0</v>
      </c>
      <c r="V9" s="71"/>
      <c r="W9" s="70"/>
      <c r="Z9" s="17"/>
    </row>
    <row r="10" spans="1:29" ht="15" customHeight="1" outlineLevel="1">
      <c r="C10" s="201"/>
      <c r="Q10" s="235"/>
      <c r="R10" s="96"/>
      <c r="S10" s="96"/>
      <c r="T10" s="234"/>
      <c r="V10" s="71"/>
      <c r="W10" s="70"/>
      <c r="Z10" s="17"/>
    </row>
    <row r="11" spans="1:29" ht="15" customHeight="1" outlineLevel="1" thickBot="1">
      <c r="C11" s="201"/>
      <c r="Z11" s="17"/>
    </row>
    <row r="12" spans="1:29" ht="18" customHeight="1" outlineLevel="1" thickBot="1">
      <c r="C12" s="316"/>
      <c r="D12" s="317" t="s">
        <v>112</v>
      </c>
      <c r="E12" s="241"/>
      <c r="F12" s="242" t="s">
        <v>267</v>
      </c>
      <c r="G12" s="243"/>
      <c r="H12" s="244"/>
      <c r="I12" s="244"/>
      <c r="J12" s="245"/>
      <c r="K12" s="246" t="str">
        <f ca="1">IF(OR(J12="",L12=""),"",IF(NETWORKDAYS(J12,TODAY())/NETWORKDAYS(J12,L12)&gt;1,1,NETWORKDAYS(J12,TODAY())/NETWORKDAYS(J12,L12)))</f>
        <v/>
      </c>
      <c r="L12" s="245"/>
      <c r="M12" s="247" t="str">
        <f ca="1">IF(T14&gt;=1,"Done",IF(ISBLANK(L12),"",NETWORKDAYS(TODAY(),L12)))</f>
        <v/>
      </c>
      <c r="N12" s="248"/>
      <c r="O12" s="248"/>
      <c r="P12" s="248"/>
      <c r="Q12" s="207" t="s">
        <v>3</v>
      </c>
      <c r="R12" s="208">
        <f>Projekteinstellungen!$B$21*1</f>
        <v>1</v>
      </c>
      <c r="S12" s="208">
        <f>$R$12-Projekteinstellungen!$B$21*2</f>
        <v>-1</v>
      </c>
      <c r="T12" s="319">
        <f>IF(R12=0,0,(R12-S12)/R12)</f>
        <v>2</v>
      </c>
      <c r="U12" s="318"/>
      <c r="V12" s="320">
        <f>($R$12-$S$12)-($R$14-$S$14)</f>
        <v>2</v>
      </c>
      <c r="W12" s="200">
        <f>IF($R$12=0,"",$V$12/$R$12)</f>
        <v>2</v>
      </c>
      <c r="X12" s="17">
        <v>0</v>
      </c>
      <c r="Y12" s="17">
        <v>0</v>
      </c>
      <c r="Z12" s="66" t="str">
        <f ca="1">IF(M12="","tbd",IF(M12="Done","",IF(M12&lt;0,Pos_Hilfstabelle!$B$127,IF(M12-S12&lt;0,Pos_Hilfstabelle!$B$126,Pos_Hilfstabelle!$B$125))))</f>
        <v>tbd</v>
      </c>
    </row>
    <row r="13" spans="1:29" ht="15" customHeight="1" outlineLevel="1" thickBot="1">
      <c r="C13" s="201"/>
      <c r="D13" s="11" t="s">
        <v>348</v>
      </c>
      <c r="E13" s="298"/>
      <c r="F13" s="217" t="s">
        <v>349</v>
      </c>
      <c r="G13" s="217"/>
      <c r="H13" s="217"/>
      <c r="I13" s="218"/>
      <c r="J13" s="219">
        <v>45219</v>
      </c>
      <c r="K13" s="240">
        <f ca="1">IF(OR(J13="",L13=""),0,IF(NETWORKDAYS(J13,TODAY())/NETWORKDAYS(J13,L13)&gt;1,1,NETWORKDAYS(J13,TODAY())/NETWORKDAYS(J13,L13)))</f>
        <v>0.33333333333333331</v>
      </c>
      <c r="L13" s="220">
        <v>45223</v>
      </c>
      <c r="M13" s="263">
        <f ca="1">IF(P13&gt;=1,"Done",IF(ISBLANK(L13),"",NETWORKDAYS(TODAY(),L13)))</f>
        <v>3</v>
      </c>
      <c r="N13" s="215"/>
      <c r="O13" s="230">
        <v>0</v>
      </c>
      <c r="P13" s="230">
        <v>0</v>
      </c>
      <c r="Q13" s="299"/>
      <c r="R13" s="228">
        <v>0</v>
      </c>
      <c r="S13" s="228">
        <f>R13/(1-O13)*(1-P13)</f>
        <v>0</v>
      </c>
      <c r="V13" s="71"/>
      <c r="W13" s="70"/>
      <c r="X13" s="17">
        <v>0</v>
      </c>
      <c r="Y13" s="17">
        <v>0</v>
      </c>
      <c r="Z13" s="66" t="str">
        <f ca="1">IF(M13="","tbd",IF(M13="Done","",IF(M13&lt;0,Pos_Hilfstabelle!$B$127,IF(M13-S13&lt;0,Pos_Hilfstabelle!$B$126,Pos_Hilfstabelle!$B$125))))</f>
        <v>on track</v>
      </c>
    </row>
    <row r="14" spans="1:29" ht="18" customHeight="1" outlineLevel="1" thickBot="1">
      <c r="C14" s="201"/>
      <c r="O14" s="145"/>
      <c r="Q14" s="207" t="s">
        <v>136</v>
      </c>
      <c r="R14" s="208">
        <f>SUM($R$13:$R$13)</f>
        <v>0</v>
      </c>
      <c r="S14" s="208">
        <f>SUM($S$13:$S$13)</f>
        <v>0</v>
      </c>
      <c r="T14" s="206">
        <f>IF(R14=0,0,(R14-S14)/R14)</f>
        <v>0</v>
      </c>
    </row>
    <row r="15" spans="1:29" ht="15" customHeight="1" outlineLevel="1">
      <c r="C15" s="201"/>
      <c r="R15" s="96"/>
      <c r="S15" s="96"/>
    </row>
    <row r="16" spans="1:29" ht="15" customHeight="1" outlineLevel="1" thickBot="1">
      <c r="C16" s="201"/>
      <c r="R16" s="96"/>
      <c r="S16" s="96"/>
    </row>
    <row r="17" spans="3:26" ht="18" customHeight="1" outlineLevel="1" thickBot="1">
      <c r="C17" s="316"/>
      <c r="D17" s="317" t="s">
        <v>288</v>
      </c>
      <c r="E17" s="241"/>
      <c r="F17" s="242" t="s">
        <v>289</v>
      </c>
      <c r="G17" s="243"/>
      <c r="H17" s="244"/>
      <c r="I17" s="244"/>
      <c r="J17" s="245"/>
      <c r="K17" s="246" t="str">
        <f ca="1">IF(OR(J17="",L17=""),"",IF(NETWORKDAYS(J17,TODAY())/NETWORKDAYS(J17,L17)&gt;1,1,NETWORKDAYS(J17,TODAY())/NETWORKDAYS(J17,L17)))</f>
        <v/>
      </c>
      <c r="L17" s="245"/>
      <c r="M17" s="247" t="str">
        <f ca="1">IF(T19&gt;=1,"Done",IF(ISBLANK(L17),"",NETWORKDAYS(TODAY(),L17)))</f>
        <v/>
      </c>
      <c r="N17" s="248"/>
      <c r="O17" s="248"/>
      <c r="P17" s="248"/>
      <c r="Q17" s="207" t="s">
        <v>3</v>
      </c>
      <c r="R17" s="208">
        <f>Projekteinstellungen!$B$21*397</f>
        <v>397</v>
      </c>
      <c r="S17" s="208">
        <f>$R$17-Projekteinstellungen!$B$21*431.75</f>
        <v>-34.75</v>
      </c>
      <c r="T17" s="319">
        <f>IF(R17=0,0,(R17-S17)/R17)</f>
        <v>1.0875314861460956</v>
      </c>
      <c r="U17" s="318"/>
      <c r="V17" s="320">
        <f>(R17-S17)-(R19-S19)</f>
        <v>431.75</v>
      </c>
      <c r="W17" s="200">
        <f>IF(R17=0,"",V17/R17)</f>
        <v>1.0875314861460956</v>
      </c>
      <c r="X17" s="17">
        <v>0</v>
      </c>
      <c r="Y17" s="17">
        <v>0</v>
      </c>
      <c r="Z17" s="66" t="str">
        <f ca="1">IF(M17="","tbd",IF(M17="Done","",IF(M17&lt;0,Pos_Hilfstabelle!$B$127,IF(M17-S17&lt;0,Pos_Hilfstabelle!$B$126,Pos_Hilfstabelle!$B$125))))</f>
        <v>tbd</v>
      </c>
    </row>
    <row r="18" spans="3:26" ht="15" customHeight="1" outlineLevel="1" thickBot="1">
      <c r="C18" s="201"/>
      <c r="D18" s="212"/>
      <c r="E18" s="211"/>
      <c r="F18" s="221"/>
      <c r="G18" s="221"/>
      <c r="H18" s="221"/>
      <c r="I18" s="218"/>
      <c r="J18" s="222"/>
      <c r="K18" s="239">
        <f ca="1">IF(OR(J18="",L18=""),0,IF(NETWORKDAYS(J18,TODAY())/NETWORKDAYS(J18,L18)&gt;1,1,NETWORKDAYS(J18,TODAY())/NETWORKDAYS(J18,L18)))</f>
        <v>0</v>
      </c>
      <c r="L18" s="223"/>
      <c r="M18" s="262" t="str">
        <f ca="1">IF(P18&gt;=1,"Done",IF(ISBLANK(L18),"",NETWORKDAYS(TODAY(),L18)))</f>
        <v/>
      </c>
      <c r="N18" s="213"/>
      <c r="O18" s="229">
        <v>0</v>
      </c>
      <c r="P18" s="229">
        <v>0</v>
      </c>
      <c r="Q18" s="226"/>
      <c r="R18" s="227">
        <v>0</v>
      </c>
      <c r="S18" s="227">
        <f>R18/(1-O18)*(1-P18)</f>
        <v>0</v>
      </c>
      <c r="T18" s="66"/>
      <c r="U18" s="66"/>
      <c r="V18" s="71"/>
      <c r="W18" s="95"/>
      <c r="Z18" s="66" t="str">
        <f ca="1">IF(M18="","tbd",IF(M18="Done","",IF(M18&lt;0,Pos_Hilfstabelle!$B$127,IF(M18-S18&lt;0,Pos_Hilfstabelle!$B$126,Pos_Hilfstabelle!$B$125))))</f>
        <v>tbd</v>
      </c>
    </row>
    <row r="19" spans="3:26" ht="18" customHeight="1" outlineLevel="1" thickBot="1">
      <c r="C19" s="201"/>
      <c r="Q19" s="207" t="s">
        <v>136</v>
      </c>
      <c r="R19" s="208">
        <f>SUM(R18:R18)</f>
        <v>0</v>
      </c>
      <c r="S19" s="208">
        <f>IF(R19&lt;&gt;0,SUM(S18:S18),SUM(S18:S18))</f>
        <v>0</v>
      </c>
      <c r="T19" s="206">
        <f>IF(R19=0,0,(R19-S19)/R19)</f>
        <v>0</v>
      </c>
      <c r="Z19" s="17"/>
    </row>
    <row r="20" spans="3:26" ht="15" customHeight="1" outlineLevel="1">
      <c r="C20" s="201"/>
      <c r="R20" s="96"/>
      <c r="S20" s="96"/>
    </row>
    <row r="21" spans="3:26" ht="15" customHeight="1" outlineLevel="1" thickBot="1">
      <c r="C21" s="201"/>
      <c r="R21" s="96"/>
      <c r="S21" s="96"/>
    </row>
    <row r="22" spans="3:26" ht="18" customHeight="1" outlineLevel="1" thickBot="1">
      <c r="C22" s="316"/>
      <c r="D22" s="317" t="s">
        <v>307</v>
      </c>
      <c r="E22" s="241"/>
      <c r="F22" s="242" t="s">
        <v>308</v>
      </c>
      <c r="G22" s="243"/>
      <c r="H22" s="244"/>
      <c r="I22" s="244"/>
      <c r="J22" s="245"/>
      <c r="K22" s="246" t="str">
        <f ca="1">IF(OR(J22="",L22=""),"",IF(NETWORKDAYS(J22,TODAY())/NETWORKDAYS(J22,L22)&gt;1,1,NETWORKDAYS(J22,TODAY())/NETWORKDAYS(J22,L22)))</f>
        <v/>
      </c>
      <c r="L22" s="245"/>
      <c r="M22" s="247" t="str">
        <f ca="1">IF(T24&gt;=1,"Done",IF(ISBLANK(L22),"",NETWORKDAYS(TODAY(),L22)))</f>
        <v/>
      </c>
      <c r="N22" s="248"/>
      <c r="O22" s="248"/>
      <c r="P22" s="248"/>
      <c r="Q22" s="207" t="s">
        <v>3</v>
      </c>
      <c r="R22" s="208">
        <f>Projekteinstellungen!$B$21*300</f>
        <v>300</v>
      </c>
      <c r="S22" s="208">
        <f>$R$22-Projekteinstellungen!$B$21*320.5</f>
        <v>-20.5</v>
      </c>
      <c r="T22" s="319">
        <f>IF(R22=0,0,(R22-S22)/R22)</f>
        <v>1.0683333333333334</v>
      </c>
      <c r="U22" s="318"/>
      <c r="V22" s="320">
        <f>(R22-S22)-(R24-S24)</f>
        <v>320.5</v>
      </c>
      <c r="W22" s="200">
        <f>IF(R22=0,"",V22/R22)</f>
        <v>1.0683333333333334</v>
      </c>
      <c r="X22" s="17">
        <v>0</v>
      </c>
      <c r="Y22" s="17">
        <v>0</v>
      </c>
      <c r="Z22" s="66" t="str">
        <f ca="1">IF(M22="","tbd",IF(M22="Done","",IF(M22&lt;0,Pos_Hilfstabelle!$B$127,IF(M22-S22&lt;0,Pos_Hilfstabelle!$B$126,Pos_Hilfstabelle!$B$125))))</f>
        <v>tbd</v>
      </c>
    </row>
    <row r="23" spans="3:26" ht="15" customHeight="1" outlineLevel="1" thickBot="1">
      <c r="C23" s="201"/>
      <c r="D23" s="212"/>
      <c r="E23" s="211"/>
      <c r="F23" s="221"/>
      <c r="G23" s="221"/>
      <c r="H23" s="221"/>
      <c r="I23" s="218"/>
      <c r="J23" s="222"/>
      <c r="K23" s="239">
        <f ca="1">IF(OR(J23="",L23=""),0,IF(NETWORKDAYS(J23,TODAY())/NETWORKDAYS(J23,L23)&gt;1,1,NETWORKDAYS(J23,TODAY())/NETWORKDAYS(J23,L23)))</f>
        <v>0</v>
      </c>
      <c r="L23" s="223"/>
      <c r="M23" s="262" t="str">
        <f ca="1">IF(P23&gt;=1,"Done",IF(ISBLANK(L23),"",NETWORKDAYS(TODAY(),L23)))</f>
        <v/>
      </c>
      <c r="N23" s="213"/>
      <c r="O23" s="229">
        <v>0</v>
      </c>
      <c r="P23" s="229">
        <v>0</v>
      </c>
      <c r="Q23" s="226"/>
      <c r="R23" s="227">
        <v>0</v>
      </c>
      <c r="S23" s="227">
        <f>R23/(1-O23)*(1-P23)</f>
        <v>0</v>
      </c>
      <c r="T23" s="66"/>
      <c r="U23" s="66"/>
      <c r="V23" s="71"/>
      <c r="W23" s="95"/>
      <c r="Z23" s="66" t="str">
        <f ca="1">IF(M23="","tbd",IF(M23="Done","",IF(M23&lt;0,Pos_Hilfstabelle!$B$127,IF(M23-S23&lt;0,Pos_Hilfstabelle!$B$126,Pos_Hilfstabelle!$B$125))))</f>
        <v>tbd</v>
      </c>
    </row>
    <row r="24" spans="3:26" ht="18" customHeight="1" outlineLevel="1" thickBot="1">
      <c r="C24" s="201"/>
      <c r="Q24" s="207" t="s">
        <v>136</v>
      </c>
      <c r="R24" s="208">
        <f>SUM(R23:R23)</f>
        <v>0</v>
      </c>
      <c r="S24" s="208">
        <f>IF(R24&lt;&gt;0,SUM(S23:S23),SUM(S23:S23))</f>
        <v>0</v>
      </c>
      <c r="T24" s="206">
        <f>IF(R24=0,0,(R24-S24)/R24)</f>
        <v>0</v>
      </c>
      <c r="Z24" s="17"/>
    </row>
    <row r="25" spans="3:26" ht="15" customHeight="1" outlineLevel="1">
      <c r="C25" s="201"/>
      <c r="R25" s="96"/>
      <c r="S25" s="96"/>
    </row>
    <row r="26" spans="3:26" ht="15" customHeight="1" outlineLevel="1" thickBot="1">
      <c r="C26" s="201"/>
      <c r="R26" s="96"/>
      <c r="S26" s="96"/>
    </row>
    <row r="27" spans="3:26" ht="18" customHeight="1" outlineLevel="1" thickBot="1">
      <c r="C27" s="316"/>
      <c r="D27" s="317" t="s">
        <v>309</v>
      </c>
      <c r="E27" s="241"/>
      <c r="F27" s="242" t="s">
        <v>310</v>
      </c>
      <c r="G27" s="243"/>
      <c r="H27" s="244"/>
      <c r="I27" s="244"/>
      <c r="J27" s="245"/>
      <c r="K27" s="246" t="str">
        <f ca="1">IF(OR(J27="",L27=""),"",IF(NETWORKDAYS(J27,TODAY())/NETWORKDAYS(J27,L27)&gt;1,1,NETWORKDAYS(J27,TODAY())/NETWORKDAYS(J27,L27)))</f>
        <v/>
      </c>
      <c r="L27" s="245"/>
      <c r="M27" s="247" t="str">
        <f ca="1">IF(T29&gt;=1,"Done",IF(ISBLANK(L27),"",NETWORKDAYS(TODAY(),L27)))</f>
        <v/>
      </c>
      <c r="N27" s="248"/>
      <c r="O27" s="248"/>
      <c r="P27" s="248"/>
      <c r="Q27" s="207" t="s">
        <v>3</v>
      </c>
      <c r="R27" s="208">
        <f>Projekteinstellungen!$B$21*182</f>
        <v>182</v>
      </c>
      <c r="S27" s="208">
        <f>$R$27-Projekteinstellungen!$B$21*98.25</f>
        <v>83.75</v>
      </c>
      <c r="T27" s="319">
        <f>IF(R27=0,0,(R27-S27)/R27)</f>
        <v>0.5398351648351648</v>
      </c>
      <c r="U27" s="318"/>
      <c r="V27" s="320">
        <f>(R27-S27)-(R29-S29)</f>
        <v>98.25</v>
      </c>
      <c r="W27" s="200">
        <f>IF(R27=0,"",V27/R27)</f>
        <v>0.5398351648351648</v>
      </c>
      <c r="X27" s="17">
        <v>0</v>
      </c>
      <c r="Y27" s="17">
        <v>0</v>
      </c>
      <c r="Z27" s="66" t="str">
        <f ca="1">IF(M27="","tbd",IF(M27="Done","",IF(M27&lt;0,Pos_Hilfstabelle!$B$127,IF(M27-S27&lt;0,Pos_Hilfstabelle!$B$126,Pos_Hilfstabelle!$B$125))))</f>
        <v>tbd</v>
      </c>
    </row>
    <row r="28" spans="3:26" ht="15" customHeight="1" outlineLevel="1" thickBot="1">
      <c r="C28" s="201"/>
      <c r="D28" s="212"/>
      <c r="E28" s="211"/>
      <c r="F28" s="221"/>
      <c r="G28" s="221"/>
      <c r="H28" s="221"/>
      <c r="I28" s="218"/>
      <c r="J28" s="222"/>
      <c r="K28" s="239">
        <f ca="1">IF(OR(J28="",L28=""),0,IF(NETWORKDAYS(J28,TODAY())/NETWORKDAYS(J28,L28)&gt;1,1,NETWORKDAYS(J28,TODAY())/NETWORKDAYS(J28,L28)))</f>
        <v>0</v>
      </c>
      <c r="L28" s="223"/>
      <c r="M28" s="262" t="str">
        <f ca="1">IF(P28&gt;=1,"Done",IF(ISBLANK(L28),"",NETWORKDAYS(TODAY(),L28)))</f>
        <v/>
      </c>
      <c r="N28" s="213"/>
      <c r="O28" s="229">
        <v>0</v>
      </c>
      <c r="P28" s="229">
        <v>0</v>
      </c>
      <c r="Q28" s="226"/>
      <c r="R28" s="227">
        <v>0</v>
      </c>
      <c r="S28" s="227">
        <f>R28/(1-O28)*(1-P28)</f>
        <v>0</v>
      </c>
      <c r="T28" s="66"/>
      <c r="U28" s="66"/>
      <c r="V28" s="71"/>
      <c r="W28" s="95"/>
      <c r="Z28" s="66" t="str">
        <f ca="1">IF(M28="","tbd",IF(M28="Done","",IF(M28&lt;0,Pos_Hilfstabelle!$B$127,IF(M28-S28&lt;0,Pos_Hilfstabelle!$B$126,Pos_Hilfstabelle!$B$125))))</f>
        <v>tbd</v>
      </c>
    </row>
    <row r="29" spans="3:26" ht="18" customHeight="1" outlineLevel="1" thickBot="1">
      <c r="C29" s="201"/>
      <c r="Q29" s="207" t="s">
        <v>136</v>
      </c>
      <c r="R29" s="208">
        <f>SUM(R28:R28)</f>
        <v>0</v>
      </c>
      <c r="S29" s="208">
        <f>IF(R29&lt;&gt;0,SUM(S28:S28),SUM(S28:S28))</f>
        <v>0</v>
      </c>
      <c r="T29" s="206">
        <f>IF(R29=0,0,(R29-S29)/R29)</f>
        <v>0</v>
      </c>
      <c r="Z29" s="17"/>
    </row>
    <row r="30" spans="3:26" ht="15" customHeight="1" outlineLevel="1">
      <c r="C30" s="201"/>
      <c r="R30" s="96"/>
      <c r="S30" s="96"/>
    </row>
    <row r="31" spans="3:26" ht="15" customHeight="1" outlineLevel="1" thickBot="1">
      <c r="C31" s="201"/>
      <c r="R31" s="96"/>
      <c r="S31" s="96"/>
    </row>
    <row r="32" spans="3:26" ht="18" customHeight="1" outlineLevel="1" thickBot="1">
      <c r="C32" s="316"/>
      <c r="D32" s="317" t="s">
        <v>311</v>
      </c>
      <c r="E32" s="241"/>
      <c r="F32" s="242" t="s">
        <v>312</v>
      </c>
      <c r="G32" s="243"/>
      <c r="H32" s="244"/>
      <c r="I32" s="244"/>
      <c r="J32" s="245"/>
      <c r="K32" s="246" t="str">
        <f ca="1">IF(OR(J32="",L32=""),"",IF(NETWORKDAYS(J32,TODAY())/NETWORKDAYS(J32,L32)&gt;1,1,NETWORKDAYS(J32,TODAY())/NETWORKDAYS(J32,L32)))</f>
        <v/>
      </c>
      <c r="L32" s="245"/>
      <c r="M32" s="247" t="str">
        <f ca="1">IF(T34&gt;=1,"Done",IF(ISBLANK(L32),"",NETWORKDAYS(TODAY(),L32)))</f>
        <v/>
      </c>
      <c r="N32" s="248"/>
      <c r="O32" s="248"/>
      <c r="P32" s="248"/>
      <c r="Q32" s="207" t="s">
        <v>3</v>
      </c>
      <c r="R32" s="208">
        <f>Projekteinstellungen!$B$21*250</f>
        <v>250</v>
      </c>
      <c r="S32" s="208">
        <f>$R$32-Projekteinstellungen!$B$21*155.75</f>
        <v>94.25</v>
      </c>
      <c r="T32" s="319">
        <f>IF(R32=0,0,(R32-S32)/R32)</f>
        <v>0.623</v>
      </c>
      <c r="U32" s="318"/>
      <c r="V32" s="320">
        <f>(R32-S32)-(R34-S34)</f>
        <v>155.75</v>
      </c>
      <c r="W32" s="200">
        <f>IF(R32=0,"",V32/R32)</f>
        <v>0.623</v>
      </c>
      <c r="X32" s="17">
        <v>0</v>
      </c>
      <c r="Y32" s="17">
        <v>0</v>
      </c>
      <c r="Z32" s="66" t="str">
        <f ca="1">IF(M32="","tbd",IF(M32="Done","",IF(M32&lt;0,Pos_Hilfstabelle!$B$127,IF(M32-S32&lt;0,Pos_Hilfstabelle!$B$126,Pos_Hilfstabelle!$B$125))))</f>
        <v>tbd</v>
      </c>
    </row>
    <row r="33" spans="3:26" ht="15" customHeight="1" outlineLevel="1" thickBot="1">
      <c r="C33" s="201"/>
      <c r="D33" s="212"/>
      <c r="E33" s="211"/>
      <c r="F33" s="221"/>
      <c r="G33" s="221"/>
      <c r="H33" s="221"/>
      <c r="I33" s="218"/>
      <c r="J33" s="222"/>
      <c r="K33" s="239">
        <f ca="1">IF(OR(J33="",L33=""),0,IF(NETWORKDAYS(J33,TODAY())/NETWORKDAYS(J33,L33)&gt;1,1,NETWORKDAYS(J33,TODAY())/NETWORKDAYS(J33,L33)))</f>
        <v>0</v>
      </c>
      <c r="L33" s="223"/>
      <c r="M33" s="262" t="str">
        <f ca="1">IF(P33&gt;=1,"Done",IF(ISBLANK(L33),"",NETWORKDAYS(TODAY(),L33)))</f>
        <v/>
      </c>
      <c r="N33" s="213"/>
      <c r="O33" s="229">
        <v>0</v>
      </c>
      <c r="P33" s="229">
        <v>0</v>
      </c>
      <c r="Q33" s="226"/>
      <c r="R33" s="227">
        <v>0</v>
      </c>
      <c r="S33" s="227">
        <f>R33/(1-O33)*(1-P33)</f>
        <v>0</v>
      </c>
      <c r="T33" s="66"/>
      <c r="U33" s="66"/>
      <c r="V33" s="71"/>
      <c r="W33" s="95"/>
      <c r="Z33" s="66" t="str">
        <f ca="1">IF(M33="","tbd",IF(M33="Done","",IF(M33&lt;0,Pos_Hilfstabelle!$B$127,IF(M33-S33&lt;0,Pos_Hilfstabelle!$B$126,Pos_Hilfstabelle!$B$125))))</f>
        <v>tbd</v>
      </c>
    </row>
    <row r="34" spans="3:26" ht="18" customHeight="1" outlineLevel="1" thickBot="1">
      <c r="C34" s="201"/>
      <c r="Q34" s="207" t="s">
        <v>136</v>
      </c>
      <c r="R34" s="208">
        <f>SUM(R33:R33)</f>
        <v>0</v>
      </c>
      <c r="S34" s="208">
        <f>IF(R34&lt;&gt;0,SUM(S33:S33),SUM(S33:S33))</f>
        <v>0</v>
      </c>
      <c r="T34" s="206">
        <f>IF(R34=0,0,(R34-S34)/R34)</f>
        <v>0</v>
      </c>
      <c r="Z34" s="17"/>
    </row>
    <row r="35" spans="3:26" ht="15" customHeight="1" outlineLevel="1">
      <c r="C35" s="201"/>
      <c r="R35" s="96"/>
      <c r="S35" s="96"/>
    </row>
    <row r="36" spans="3:26" ht="15" customHeight="1" outlineLevel="1" thickBot="1">
      <c r="C36" s="201"/>
      <c r="R36" s="96"/>
      <c r="S36" s="96"/>
    </row>
    <row r="37" spans="3:26" ht="18" customHeight="1" outlineLevel="1" thickBot="1">
      <c r="C37" s="316"/>
      <c r="D37" s="317" t="s">
        <v>313</v>
      </c>
      <c r="E37" s="241"/>
      <c r="F37" s="242" t="s">
        <v>314</v>
      </c>
      <c r="G37" s="243"/>
      <c r="H37" s="244"/>
      <c r="I37" s="244"/>
      <c r="J37" s="245"/>
      <c r="K37" s="246" t="str">
        <f ca="1">IF(OR(J37="",L37=""),"",IF(NETWORKDAYS(J37,TODAY())/NETWORKDAYS(J37,L37)&gt;1,1,NETWORKDAYS(J37,TODAY())/NETWORKDAYS(J37,L37)))</f>
        <v/>
      </c>
      <c r="L37" s="245"/>
      <c r="M37" s="247" t="str">
        <f ca="1">IF(T39&gt;=1,"Done",IF(ISBLANK(L37),"",NETWORKDAYS(TODAY(),L37)))</f>
        <v/>
      </c>
      <c r="N37" s="248"/>
      <c r="O37" s="248"/>
      <c r="P37" s="248"/>
      <c r="Q37" s="207" t="s">
        <v>3</v>
      </c>
      <c r="R37" s="208">
        <f>Projekteinstellungen!$B$21*348</f>
        <v>348</v>
      </c>
      <c r="S37" s="208">
        <f>$R$37-Projekteinstellungen!$B$21*311.75</f>
        <v>36.25</v>
      </c>
      <c r="T37" s="319">
        <f>IF(R37=0,0,(R37-S37)/R37)</f>
        <v>0.89583333333333337</v>
      </c>
      <c r="U37" s="318"/>
      <c r="V37" s="320">
        <f>(R37-S37)-(R39-S39)</f>
        <v>311.75</v>
      </c>
      <c r="W37" s="200">
        <f>IF(R37=0,"",V37/R37)</f>
        <v>0.89583333333333337</v>
      </c>
      <c r="X37" s="17">
        <v>0</v>
      </c>
      <c r="Y37" s="17">
        <v>0</v>
      </c>
      <c r="Z37" s="66" t="str">
        <f ca="1">IF(M37="","tbd",IF(M37="Done","",IF(M37&lt;0,Pos_Hilfstabelle!$B$127,IF(M37-S37&lt;0,Pos_Hilfstabelle!$B$126,Pos_Hilfstabelle!$B$125))))</f>
        <v>tbd</v>
      </c>
    </row>
    <row r="38" spans="3:26" ht="15" customHeight="1" outlineLevel="1" thickBot="1">
      <c r="C38" s="201"/>
      <c r="D38" s="212"/>
      <c r="E38" s="211"/>
      <c r="F38" s="221"/>
      <c r="G38" s="221"/>
      <c r="H38" s="221"/>
      <c r="I38" s="218"/>
      <c r="J38" s="222"/>
      <c r="K38" s="239">
        <f ca="1">IF(OR(J38="",L38=""),0,IF(NETWORKDAYS(J38,TODAY())/NETWORKDAYS(J38,L38)&gt;1,1,NETWORKDAYS(J38,TODAY())/NETWORKDAYS(J38,L38)))</f>
        <v>0</v>
      </c>
      <c r="L38" s="223"/>
      <c r="M38" s="262" t="str">
        <f ca="1">IF(P38&gt;=1,"Done",IF(ISBLANK(L38),"",NETWORKDAYS(TODAY(),L38)))</f>
        <v/>
      </c>
      <c r="N38" s="213"/>
      <c r="O38" s="229">
        <v>0</v>
      </c>
      <c r="P38" s="229">
        <v>0</v>
      </c>
      <c r="Q38" s="226"/>
      <c r="R38" s="227">
        <v>0</v>
      </c>
      <c r="S38" s="227">
        <f>R38/(1-O38)*(1-P38)</f>
        <v>0</v>
      </c>
      <c r="T38" s="66"/>
      <c r="U38" s="66"/>
      <c r="V38" s="71"/>
      <c r="W38" s="95"/>
      <c r="Z38" s="66" t="str">
        <f ca="1">IF(M38="","tbd",IF(M38="Done","",IF(M38&lt;0,Pos_Hilfstabelle!$B$127,IF(M38-S38&lt;0,Pos_Hilfstabelle!$B$126,Pos_Hilfstabelle!$B$125))))</f>
        <v>tbd</v>
      </c>
    </row>
    <row r="39" spans="3:26" ht="18" customHeight="1" outlineLevel="1" thickBot="1">
      <c r="C39" s="201"/>
      <c r="Q39" s="207" t="s">
        <v>136</v>
      </c>
      <c r="R39" s="208">
        <f>SUM(R38:R38)</f>
        <v>0</v>
      </c>
      <c r="S39" s="208">
        <f>IF(R39&lt;&gt;0,SUM(S38:S38),SUM(S38:S38))</f>
        <v>0</v>
      </c>
      <c r="T39" s="206">
        <f>IF(R39=0,0,(R39-S39)/R39)</f>
        <v>0</v>
      </c>
      <c r="Z39" s="17"/>
    </row>
    <row r="40" spans="3:26" ht="15" customHeight="1" outlineLevel="1">
      <c r="C40" s="201"/>
      <c r="R40" s="96"/>
      <c r="S40" s="96"/>
    </row>
    <row r="41" spans="3:26" ht="15" customHeight="1" outlineLevel="1" thickBot="1">
      <c r="C41" s="201"/>
      <c r="R41" s="96"/>
      <c r="S41" s="96"/>
    </row>
    <row r="42" spans="3:26" ht="18" customHeight="1" outlineLevel="1" thickBot="1">
      <c r="C42" s="316"/>
      <c r="D42" s="317" t="s">
        <v>315</v>
      </c>
      <c r="E42" s="241"/>
      <c r="F42" s="242" t="s">
        <v>316</v>
      </c>
      <c r="G42" s="243"/>
      <c r="H42" s="244"/>
      <c r="I42" s="244"/>
      <c r="J42" s="245"/>
      <c r="K42" s="246" t="str">
        <f ca="1">IF(OR(J42="",L42=""),"",IF(NETWORKDAYS(J42,TODAY())/NETWORKDAYS(J42,L42)&gt;1,1,NETWORKDAYS(J42,TODAY())/NETWORKDAYS(J42,L42)))</f>
        <v/>
      </c>
      <c r="L42" s="245"/>
      <c r="M42" s="247" t="str">
        <f ca="1">IF(T44&gt;=1,"Done",IF(ISBLANK(L42),"",NETWORKDAYS(TODAY(),L42)))</f>
        <v/>
      </c>
      <c r="N42" s="248"/>
      <c r="O42" s="248"/>
      <c r="P42" s="248"/>
      <c r="Q42" s="207" t="s">
        <v>3</v>
      </c>
      <c r="R42" s="208">
        <f>Projekteinstellungen!$B$21*477</f>
        <v>477</v>
      </c>
      <c r="S42" s="208">
        <f>$R$42-Projekteinstellungen!$B$21*242.25</f>
        <v>234.75</v>
      </c>
      <c r="T42" s="319">
        <f>IF(R42=0,0,(R42-S42)/R42)</f>
        <v>0.50786163522012584</v>
      </c>
      <c r="U42" s="318"/>
      <c r="V42" s="320">
        <f>(R42-S42)-(R44-S44)</f>
        <v>242.25</v>
      </c>
      <c r="W42" s="200">
        <f>IF(R42=0,"",V42/R42)</f>
        <v>0.50786163522012584</v>
      </c>
      <c r="X42" s="17">
        <v>0</v>
      </c>
      <c r="Y42" s="17">
        <v>0</v>
      </c>
      <c r="Z42" s="66" t="str">
        <f ca="1">IF(M42="","tbd",IF(M42="Done","",IF(M42&lt;0,Pos_Hilfstabelle!$B$127,IF(M42-S42&lt;0,Pos_Hilfstabelle!$B$126,Pos_Hilfstabelle!$B$125))))</f>
        <v>tbd</v>
      </c>
    </row>
    <row r="43" spans="3:26" ht="15" customHeight="1" outlineLevel="1" thickBot="1">
      <c r="C43" s="201"/>
      <c r="D43" s="212"/>
      <c r="E43" s="211"/>
      <c r="F43" s="221"/>
      <c r="G43" s="221"/>
      <c r="H43" s="221"/>
      <c r="I43" s="218"/>
      <c r="J43" s="222"/>
      <c r="K43" s="239">
        <f ca="1">IF(OR(J43="",L43=""),0,IF(NETWORKDAYS(J43,TODAY())/NETWORKDAYS(J43,L43)&gt;1,1,NETWORKDAYS(J43,TODAY())/NETWORKDAYS(J43,L43)))</f>
        <v>0</v>
      </c>
      <c r="L43" s="223"/>
      <c r="M43" s="262" t="str">
        <f ca="1">IF(P43&gt;=1,"Done",IF(ISBLANK(L43),"",NETWORKDAYS(TODAY(),L43)))</f>
        <v/>
      </c>
      <c r="N43" s="213"/>
      <c r="O43" s="229">
        <v>0</v>
      </c>
      <c r="P43" s="229">
        <v>0</v>
      </c>
      <c r="Q43" s="226"/>
      <c r="R43" s="227">
        <v>0</v>
      </c>
      <c r="S43" s="227">
        <f>R43/(1-O43)*(1-P43)</f>
        <v>0</v>
      </c>
      <c r="T43" s="66"/>
      <c r="U43" s="66"/>
      <c r="V43" s="71"/>
      <c r="W43" s="95"/>
      <c r="Z43" s="66" t="str">
        <f ca="1">IF(M43="","tbd",IF(M43="Done","",IF(M43&lt;0,Pos_Hilfstabelle!$B$127,IF(M43-S43&lt;0,Pos_Hilfstabelle!$B$126,Pos_Hilfstabelle!$B$125))))</f>
        <v>tbd</v>
      </c>
    </row>
    <row r="44" spans="3:26" ht="18" customHeight="1" outlineLevel="1" thickBot="1">
      <c r="C44" s="201"/>
      <c r="Q44" s="207" t="s">
        <v>136</v>
      </c>
      <c r="R44" s="208">
        <f>SUM(R43:R43)</f>
        <v>0</v>
      </c>
      <c r="S44" s="208">
        <f>IF(R44&lt;&gt;0,SUM(S43:S43),SUM(S43:S43))</f>
        <v>0</v>
      </c>
      <c r="T44" s="206">
        <f>IF(R44=0,0,(R44-S44)/R44)</f>
        <v>0</v>
      </c>
      <c r="Z44" s="17"/>
    </row>
    <row r="45" spans="3:26" ht="15" customHeight="1" outlineLevel="1">
      <c r="C45" s="201"/>
      <c r="R45" s="96"/>
      <c r="S45" s="96"/>
    </row>
    <row r="46" spans="3:26" ht="15" customHeight="1" outlineLevel="1" thickBot="1">
      <c r="C46" s="201"/>
      <c r="R46" s="96"/>
      <c r="S46" s="96"/>
    </row>
    <row r="47" spans="3:26" ht="18" customHeight="1" outlineLevel="1" thickBot="1">
      <c r="C47" s="316"/>
      <c r="D47" s="317" t="s">
        <v>317</v>
      </c>
      <c r="E47" s="241"/>
      <c r="F47" s="242" t="s">
        <v>318</v>
      </c>
      <c r="G47" s="243"/>
      <c r="H47" s="244"/>
      <c r="I47" s="244"/>
      <c r="J47" s="245"/>
      <c r="K47" s="246" t="str">
        <f ca="1">IF(OR(J47="",L47=""),"",IF(NETWORKDAYS(J47,TODAY())/NETWORKDAYS(J47,L47)&gt;1,1,NETWORKDAYS(J47,TODAY())/NETWORKDAYS(J47,L47)))</f>
        <v/>
      </c>
      <c r="L47" s="245"/>
      <c r="M47" s="247" t="str">
        <f ca="1">IF(T49&gt;=1,"Done",IF(ISBLANK(L47),"",NETWORKDAYS(TODAY(),L47)))</f>
        <v/>
      </c>
      <c r="N47" s="248"/>
      <c r="O47" s="248"/>
      <c r="P47" s="248"/>
      <c r="Q47" s="207" t="s">
        <v>3</v>
      </c>
      <c r="R47" s="208">
        <f>Projekteinstellungen!$B$21*144</f>
        <v>144</v>
      </c>
      <c r="S47" s="208">
        <f>$R$47-Projekteinstellungen!$B$21*109.5</f>
        <v>34.5</v>
      </c>
      <c r="T47" s="319">
        <f>IF(R47=0,0,(R47-S47)/R47)</f>
        <v>0.76041666666666663</v>
      </c>
      <c r="U47" s="318"/>
      <c r="V47" s="320">
        <f>(R47-S47)-(R49-S49)</f>
        <v>109.5</v>
      </c>
      <c r="W47" s="200">
        <f>IF(R47=0,"",V47/R47)</f>
        <v>0.76041666666666663</v>
      </c>
      <c r="X47" s="17">
        <v>0</v>
      </c>
      <c r="Y47" s="17">
        <v>0</v>
      </c>
      <c r="Z47" s="66" t="str">
        <f ca="1">IF(M47="","tbd",IF(M47="Done","",IF(M47&lt;0,Pos_Hilfstabelle!$B$127,IF(M47-S47&lt;0,Pos_Hilfstabelle!$B$126,Pos_Hilfstabelle!$B$125))))</f>
        <v>tbd</v>
      </c>
    </row>
    <row r="48" spans="3:26" ht="15" customHeight="1" outlineLevel="1" thickBot="1">
      <c r="C48" s="201"/>
      <c r="D48" s="212"/>
      <c r="E48" s="211"/>
      <c r="F48" s="221"/>
      <c r="G48" s="221"/>
      <c r="H48" s="221"/>
      <c r="I48" s="218"/>
      <c r="J48" s="222"/>
      <c r="K48" s="239">
        <f ca="1">IF(OR(J48="",L48=""),0,IF(NETWORKDAYS(J48,TODAY())/NETWORKDAYS(J48,L48)&gt;1,1,NETWORKDAYS(J48,TODAY())/NETWORKDAYS(J48,L48)))</f>
        <v>0</v>
      </c>
      <c r="L48" s="223"/>
      <c r="M48" s="262" t="str">
        <f ca="1">IF(P48&gt;=1,"Done",IF(ISBLANK(L48),"",NETWORKDAYS(TODAY(),L48)))</f>
        <v/>
      </c>
      <c r="N48" s="213"/>
      <c r="O48" s="229">
        <v>0</v>
      </c>
      <c r="P48" s="229">
        <v>0</v>
      </c>
      <c r="Q48" s="226"/>
      <c r="R48" s="227">
        <v>0</v>
      </c>
      <c r="S48" s="227">
        <f>R48/(1-O48)*(1-P48)</f>
        <v>0</v>
      </c>
      <c r="T48" s="66"/>
      <c r="U48" s="66"/>
      <c r="V48" s="71"/>
      <c r="W48" s="95"/>
      <c r="Z48" s="66" t="str">
        <f ca="1">IF(M48="","tbd",IF(M48="Done","",IF(M48&lt;0,Pos_Hilfstabelle!$B$127,IF(M48-S48&lt;0,Pos_Hilfstabelle!$B$126,Pos_Hilfstabelle!$B$125))))</f>
        <v>tbd</v>
      </c>
    </row>
    <row r="49" spans="3:26" ht="18" customHeight="1" outlineLevel="1" thickBot="1">
      <c r="C49" s="201"/>
      <c r="Q49" s="207" t="s">
        <v>136</v>
      </c>
      <c r="R49" s="208">
        <f>SUM(R48:R48)</f>
        <v>0</v>
      </c>
      <c r="S49" s="208">
        <f>IF(R49&lt;&gt;0,SUM(S48:S48),SUM(S48:S48))</f>
        <v>0</v>
      </c>
      <c r="T49" s="206">
        <f>IF(R49=0,0,(R49-S49)/R49)</f>
        <v>0</v>
      </c>
      <c r="Z49" s="17"/>
    </row>
    <row r="50" spans="3:26" ht="15" customHeight="1" outlineLevel="1">
      <c r="C50" s="201"/>
      <c r="R50" s="96"/>
      <c r="S50" s="96"/>
    </row>
    <row r="51" spans="3:26" ht="15" customHeight="1" outlineLevel="1" thickBot="1">
      <c r="C51" s="201"/>
      <c r="R51" s="96"/>
      <c r="S51" s="96"/>
    </row>
    <row r="52" spans="3:26" ht="18" customHeight="1" outlineLevel="1" thickBot="1">
      <c r="C52" s="316"/>
      <c r="D52" s="317" t="s">
        <v>319</v>
      </c>
      <c r="E52" s="241"/>
      <c r="F52" s="242" t="s">
        <v>320</v>
      </c>
      <c r="G52" s="243"/>
      <c r="H52" s="244"/>
      <c r="I52" s="244"/>
      <c r="J52" s="245"/>
      <c r="K52" s="246" t="str">
        <f ca="1">IF(OR(J52="",L52=""),"",IF(NETWORKDAYS(J52,TODAY())/NETWORKDAYS(J52,L52)&gt;1,1,NETWORKDAYS(J52,TODAY())/NETWORKDAYS(J52,L52)))</f>
        <v/>
      </c>
      <c r="L52" s="245"/>
      <c r="M52" s="247" t="str">
        <f ca="1">IF(T54&gt;=1,"Done",IF(ISBLANK(L52),"",NETWORKDAYS(TODAY(),L52)))</f>
        <v/>
      </c>
      <c r="N52" s="248"/>
      <c r="O52" s="248"/>
      <c r="P52" s="248"/>
      <c r="Q52" s="207" t="s">
        <v>3</v>
      </c>
      <c r="R52" s="208">
        <f>Projekteinstellungen!$B$21*216</f>
        <v>216</v>
      </c>
      <c r="S52" s="208">
        <f>$R$52-Projekteinstellungen!$B$21*97.5</f>
        <v>118.5</v>
      </c>
      <c r="T52" s="319">
        <f>IF(R52=0,0,(R52-S52)/R52)</f>
        <v>0.4513888888888889</v>
      </c>
      <c r="U52" s="318"/>
      <c r="V52" s="320">
        <f>(R52-S52)-(R54-S54)</f>
        <v>97.5</v>
      </c>
      <c r="W52" s="200">
        <f>IF(R52=0,"",V52/R52)</f>
        <v>0.4513888888888889</v>
      </c>
      <c r="X52" s="17">
        <v>0</v>
      </c>
      <c r="Y52" s="17">
        <v>0</v>
      </c>
      <c r="Z52" s="66" t="str">
        <f ca="1">IF(M52="","tbd",IF(M52="Done","",IF(M52&lt;0,Pos_Hilfstabelle!$B$127,IF(M52-S52&lt;0,Pos_Hilfstabelle!$B$126,Pos_Hilfstabelle!$B$125))))</f>
        <v>tbd</v>
      </c>
    </row>
    <row r="53" spans="3:26" ht="15" customHeight="1" outlineLevel="1" thickBot="1">
      <c r="C53" s="201"/>
      <c r="D53" s="212"/>
      <c r="E53" s="211"/>
      <c r="F53" s="221"/>
      <c r="G53" s="221"/>
      <c r="H53" s="221"/>
      <c r="I53" s="218"/>
      <c r="J53" s="222"/>
      <c r="K53" s="239">
        <f ca="1">IF(OR(J53="",L53=""),0,IF(NETWORKDAYS(J53,TODAY())/NETWORKDAYS(J53,L53)&gt;1,1,NETWORKDAYS(J53,TODAY())/NETWORKDAYS(J53,L53)))</f>
        <v>0</v>
      </c>
      <c r="L53" s="223"/>
      <c r="M53" s="262" t="str">
        <f ca="1">IF(P53&gt;=1,"Done",IF(ISBLANK(L53),"",NETWORKDAYS(TODAY(),L53)))</f>
        <v/>
      </c>
      <c r="N53" s="213"/>
      <c r="O53" s="229">
        <v>0</v>
      </c>
      <c r="P53" s="229">
        <v>0</v>
      </c>
      <c r="Q53" s="226"/>
      <c r="R53" s="227">
        <v>0</v>
      </c>
      <c r="S53" s="227">
        <f>R53/(1-O53)*(1-P53)</f>
        <v>0</v>
      </c>
      <c r="T53" s="66"/>
      <c r="U53" s="66"/>
      <c r="V53" s="71"/>
      <c r="W53" s="95"/>
      <c r="Z53" s="66" t="str">
        <f ca="1">IF(M53="","tbd",IF(M53="Done","",IF(M53&lt;0,Pos_Hilfstabelle!$B$127,IF(M53-S53&lt;0,Pos_Hilfstabelle!$B$126,Pos_Hilfstabelle!$B$125))))</f>
        <v>tbd</v>
      </c>
    </row>
    <row r="54" spans="3:26" ht="18" customHeight="1" outlineLevel="1" thickBot="1">
      <c r="C54" s="201"/>
      <c r="Q54" s="207" t="s">
        <v>136</v>
      </c>
      <c r="R54" s="208">
        <f>SUM(R53:R53)</f>
        <v>0</v>
      </c>
      <c r="S54" s="208">
        <f>IF(R54&lt;&gt;0,SUM(S53:S53),SUM(S53:S53))</f>
        <v>0</v>
      </c>
      <c r="T54" s="206">
        <f>IF(R54=0,0,(R54-S54)/R54)</f>
        <v>0</v>
      </c>
      <c r="Z54" s="17"/>
    </row>
    <row r="55" spans="3:26" ht="15" customHeight="1" outlineLevel="1">
      <c r="C55" s="201"/>
      <c r="R55" s="96"/>
      <c r="S55" s="96"/>
    </row>
    <row r="56" spans="3:26" ht="15" customHeight="1" outlineLevel="1" thickBot="1">
      <c r="C56" s="201"/>
      <c r="R56" s="96"/>
      <c r="S56" s="96"/>
    </row>
    <row r="57" spans="3:26" ht="18" customHeight="1" outlineLevel="1" thickBot="1">
      <c r="C57" s="316"/>
      <c r="D57" s="317" t="s">
        <v>268</v>
      </c>
      <c r="E57" s="241"/>
      <c r="F57" s="242" t="s">
        <v>269</v>
      </c>
      <c r="G57" s="243"/>
      <c r="H57" s="244"/>
      <c r="I57" s="244"/>
      <c r="J57" s="245"/>
      <c r="K57" s="246" t="str">
        <f ca="1">IF(OR(J57="",L57=""),"",IF(NETWORKDAYS(J57,TODAY())/NETWORKDAYS(J57,L57)&gt;1,1,NETWORKDAYS(J57,TODAY())/NETWORKDAYS(J57,L57)))</f>
        <v/>
      </c>
      <c r="L57" s="245"/>
      <c r="M57" s="247" t="str">
        <f ca="1">IF(T59&gt;=1,"Done",IF(ISBLANK(L57),"",NETWORKDAYS(TODAY(),L57)))</f>
        <v/>
      </c>
      <c r="N57" s="248"/>
      <c r="O57" s="248"/>
      <c r="P57" s="248"/>
      <c r="Q57" s="207" t="s">
        <v>3</v>
      </c>
      <c r="R57" s="208">
        <f>Projekteinstellungen!$B$21*102</f>
        <v>102</v>
      </c>
      <c r="S57" s="208">
        <f>$R$57-Projekteinstellungen!$B$21*72.75</f>
        <v>29.25</v>
      </c>
      <c r="T57" s="319">
        <f>IF(R57=0,0,(R57-S57)/R57)</f>
        <v>0.71323529411764708</v>
      </c>
      <c r="U57" s="318"/>
      <c r="V57" s="320">
        <f>(R57-S57)-(R59-S59)</f>
        <v>72.75</v>
      </c>
      <c r="W57" s="200">
        <f>IF(R57=0,"",V57/R57)</f>
        <v>0.71323529411764708</v>
      </c>
      <c r="X57" s="17">
        <v>0</v>
      </c>
      <c r="Y57" s="17">
        <v>0</v>
      </c>
      <c r="Z57" s="66" t="str">
        <f ca="1">IF(M57="","tbd",IF(M57="Done","",IF(M57&lt;0,Pos_Hilfstabelle!$B$127,IF(M57-S57&lt;0,Pos_Hilfstabelle!$B$126,Pos_Hilfstabelle!$B$125))))</f>
        <v>tbd</v>
      </c>
    </row>
    <row r="58" spans="3:26" ht="15" customHeight="1" outlineLevel="1" thickBot="1">
      <c r="C58" s="201"/>
      <c r="D58" s="212"/>
      <c r="E58" s="211"/>
      <c r="F58" s="221"/>
      <c r="G58" s="221"/>
      <c r="H58" s="221"/>
      <c r="I58" s="218"/>
      <c r="J58" s="222"/>
      <c r="K58" s="239">
        <f ca="1">IF(OR(J58="",L58=""),0,IF(NETWORKDAYS(J58,TODAY())/NETWORKDAYS(J58,L58)&gt;1,1,NETWORKDAYS(J58,TODAY())/NETWORKDAYS(J58,L58)))</f>
        <v>0</v>
      </c>
      <c r="L58" s="223"/>
      <c r="M58" s="262" t="str">
        <f ca="1">IF(P58&gt;=1,"Done",IF(ISBLANK(L58),"",NETWORKDAYS(TODAY(),L58)))</f>
        <v/>
      </c>
      <c r="N58" s="213"/>
      <c r="O58" s="229">
        <v>0</v>
      </c>
      <c r="P58" s="229">
        <v>0</v>
      </c>
      <c r="Q58" s="226"/>
      <c r="R58" s="227">
        <v>0</v>
      </c>
      <c r="S58" s="227">
        <f>R58/(1-O58)*(1-P58)</f>
        <v>0</v>
      </c>
      <c r="T58" s="66"/>
      <c r="U58" s="66"/>
      <c r="V58" s="71"/>
      <c r="W58" s="95"/>
      <c r="Z58" s="66" t="str">
        <f ca="1">IF(M58="","tbd",IF(M58="Done","",IF(M58&lt;0,Pos_Hilfstabelle!$B$127,IF(M58-S58&lt;0,Pos_Hilfstabelle!$B$126,Pos_Hilfstabelle!$B$125))))</f>
        <v>tbd</v>
      </c>
    </row>
    <row r="59" spans="3:26" ht="18" customHeight="1" outlineLevel="1" thickBot="1">
      <c r="C59" s="201"/>
      <c r="Q59" s="207" t="s">
        <v>136</v>
      </c>
      <c r="R59" s="208">
        <f>SUM(R58:R58)</f>
        <v>0</v>
      </c>
      <c r="S59" s="208">
        <f>IF(R59&lt;&gt;0,SUM(S58:S58),SUM(S58:S58))</f>
        <v>0</v>
      </c>
      <c r="T59" s="206">
        <f>IF(R59=0,0,(R59-S59)/R59)</f>
        <v>0</v>
      </c>
      <c r="Z59" s="17"/>
    </row>
    <row r="60" spans="3:26" ht="15" customHeight="1" outlineLevel="1">
      <c r="C60" s="201"/>
      <c r="R60" s="96"/>
      <c r="S60" s="96"/>
    </row>
    <row r="61" spans="3:26" ht="15" customHeight="1" outlineLevel="1" thickBot="1">
      <c r="C61" s="201"/>
      <c r="R61" s="96"/>
      <c r="S61" s="96"/>
    </row>
    <row r="62" spans="3:26" ht="18" customHeight="1" outlineLevel="1" thickBot="1">
      <c r="C62" s="316"/>
      <c r="D62" s="317" t="s">
        <v>270</v>
      </c>
      <c r="E62" s="241"/>
      <c r="F62" s="242" t="s">
        <v>271</v>
      </c>
      <c r="G62" s="243"/>
      <c r="H62" s="244"/>
      <c r="I62" s="244"/>
      <c r="J62" s="245"/>
      <c r="K62" s="246" t="str">
        <f ca="1">IF(OR(J62="",L62=""),"",IF(NETWORKDAYS(J62,TODAY())/NETWORKDAYS(J62,L62)&gt;1,1,NETWORKDAYS(J62,TODAY())/NETWORKDAYS(J62,L62)))</f>
        <v/>
      </c>
      <c r="L62" s="245"/>
      <c r="M62" s="247" t="str">
        <f ca="1">IF(T64&gt;=1,"Done",IF(ISBLANK(L62),"",NETWORKDAYS(TODAY(),L62)))</f>
        <v/>
      </c>
      <c r="N62" s="248"/>
      <c r="O62" s="248"/>
      <c r="P62" s="248"/>
      <c r="Q62" s="207" t="s">
        <v>3</v>
      </c>
      <c r="R62" s="208">
        <f>Projekteinstellungen!$B$21*186</f>
        <v>186</v>
      </c>
      <c r="S62" s="208">
        <f>$R$62-Projekteinstellungen!$B$21*153.25</f>
        <v>32.75</v>
      </c>
      <c r="T62" s="319">
        <f>IF(R62=0,0,(R62-S62)/R62)</f>
        <v>0.82392473118279574</v>
      </c>
      <c r="U62" s="318"/>
      <c r="V62" s="320">
        <f>(R62-S62)-(R64-S64)</f>
        <v>153.25</v>
      </c>
      <c r="W62" s="200">
        <f>IF(R62=0,"",V62/R62)</f>
        <v>0.82392473118279574</v>
      </c>
      <c r="X62" s="17">
        <v>0</v>
      </c>
      <c r="Y62" s="17">
        <v>0</v>
      </c>
      <c r="Z62" s="66" t="str">
        <f ca="1">IF(M62="","tbd",IF(M62="Done","",IF(M62&lt;0,Pos_Hilfstabelle!$B$127,IF(M62-S62&lt;0,Pos_Hilfstabelle!$B$126,Pos_Hilfstabelle!$B$125))))</f>
        <v>tbd</v>
      </c>
    </row>
    <row r="63" spans="3:26" ht="15" customHeight="1" outlineLevel="1" thickBot="1">
      <c r="C63" s="201"/>
      <c r="D63" s="212"/>
      <c r="E63" s="211"/>
      <c r="F63" s="221"/>
      <c r="G63" s="221"/>
      <c r="H63" s="221"/>
      <c r="I63" s="218"/>
      <c r="J63" s="222"/>
      <c r="K63" s="239">
        <f ca="1">IF(OR(J63="",L63=""),0,IF(NETWORKDAYS(J63,TODAY())/NETWORKDAYS(J63,L63)&gt;1,1,NETWORKDAYS(J63,TODAY())/NETWORKDAYS(J63,L63)))</f>
        <v>0</v>
      </c>
      <c r="L63" s="223"/>
      <c r="M63" s="262" t="str">
        <f ca="1">IF(P63&gt;=1,"Done",IF(ISBLANK(L63),"",NETWORKDAYS(TODAY(),L63)))</f>
        <v/>
      </c>
      <c r="N63" s="213"/>
      <c r="O63" s="229">
        <v>0</v>
      </c>
      <c r="P63" s="229">
        <v>0</v>
      </c>
      <c r="Q63" s="226"/>
      <c r="R63" s="227">
        <v>0</v>
      </c>
      <c r="S63" s="227">
        <f>R63/(1-O63)*(1-P63)</f>
        <v>0</v>
      </c>
      <c r="T63" s="66"/>
      <c r="U63" s="66"/>
      <c r="V63" s="71"/>
      <c r="W63" s="95"/>
      <c r="Z63" s="66" t="str">
        <f ca="1">IF(M63="","tbd",IF(M63="Done","",IF(M63&lt;0,Pos_Hilfstabelle!$B$127,IF(M63-S63&lt;0,Pos_Hilfstabelle!$B$126,Pos_Hilfstabelle!$B$125))))</f>
        <v>tbd</v>
      </c>
    </row>
    <row r="64" spans="3:26" ht="18" customHeight="1" outlineLevel="1" thickBot="1">
      <c r="C64" s="201"/>
      <c r="Q64" s="207" t="s">
        <v>136</v>
      </c>
      <c r="R64" s="208">
        <f>SUM(R63:R63)</f>
        <v>0</v>
      </c>
      <c r="S64" s="208">
        <f>IF(R64&lt;&gt;0,SUM(S63:S63),SUM(S63:S63))</f>
        <v>0</v>
      </c>
      <c r="T64" s="206">
        <f>IF(R64=0,0,(R64-S64)/R64)</f>
        <v>0</v>
      </c>
      <c r="Z64" s="17"/>
    </row>
    <row r="65" spans="3:26" ht="15" customHeight="1" outlineLevel="1">
      <c r="C65" s="201"/>
      <c r="R65" s="96"/>
      <c r="S65" s="96"/>
    </row>
    <row r="66" spans="3:26" ht="15" customHeight="1" outlineLevel="1" thickBot="1">
      <c r="C66" s="201"/>
      <c r="R66" s="96"/>
      <c r="S66" s="96"/>
    </row>
    <row r="67" spans="3:26" ht="18" customHeight="1" outlineLevel="1" thickBot="1">
      <c r="C67" s="316"/>
      <c r="D67" s="317" t="s">
        <v>272</v>
      </c>
      <c r="E67" s="241"/>
      <c r="F67" s="242" t="s">
        <v>273</v>
      </c>
      <c r="G67" s="243"/>
      <c r="H67" s="244"/>
      <c r="I67" s="244"/>
      <c r="J67" s="245"/>
      <c r="K67" s="246" t="str">
        <f ca="1">IF(OR(J67="",L67=""),"",IF(NETWORKDAYS(J67,TODAY())/NETWORKDAYS(J67,L67)&gt;1,1,NETWORKDAYS(J67,TODAY())/NETWORKDAYS(J67,L67)))</f>
        <v/>
      </c>
      <c r="L67" s="245"/>
      <c r="M67" s="247" t="str">
        <f ca="1">IF(T69&gt;=1,"Done",IF(ISBLANK(L67),"",NETWORKDAYS(TODAY(),L67)))</f>
        <v/>
      </c>
      <c r="N67" s="248"/>
      <c r="O67" s="248"/>
      <c r="P67" s="248"/>
      <c r="Q67" s="207" t="s">
        <v>3</v>
      </c>
      <c r="R67" s="208">
        <f>Projekteinstellungen!$B$21*207</f>
        <v>207</v>
      </c>
      <c r="S67" s="208">
        <f>$R$67-Projekteinstellungen!$B$21*139.5</f>
        <v>67.5</v>
      </c>
      <c r="T67" s="319">
        <f>IF(R67=0,0,(R67-S67)/R67)</f>
        <v>0.67391304347826086</v>
      </c>
      <c r="U67" s="318"/>
      <c r="V67" s="320">
        <f>(R67-S67)-(R69-S69)</f>
        <v>139.5</v>
      </c>
      <c r="W67" s="200">
        <f>IF(R67=0,"",V67/R67)</f>
        <v>0.67391304347826086</v>
      </c>
      <c r="X67" s="17">
        <v>0</v>
      </c>
      <c r="Y67" s="17">
        <v>0</v>
      </c>
      <c r="Z67" s="66" t="str">
        <f ca="1">IF(M67="","tbd",IF(M67="Done","",IF(M67&lt;0,Pos_Hilfstabelle!$B$127,IF(M67-S67&lt;0,Pos_Hilfstabelle!$B$126,Pos_Hilfstabelle!$B$125))))</f>
        <v>tbd</v>
      </c>
    </row>
    <row r="68" spans="3:26" ht="15" customHeight="1" outlineLevel="1" thickBot="1">
      <c r="C68" s="201"/>
      <c r="D68" s="212"/>
      <c r="E68" s="211"/>
      <c r="F68" s="221"/>
      <c r="G68" s="221"/>
      <c r="H68" s="221"/>
      <c r="I68" s="218"/>
      <c r="J68" s="222"/>
      <c r="K68" s="239">
        <f ca="1">IF(OR(J68="",L68=""),0,IF(NETWORKDAYS(J68,TODAY())/NETWORKDAYS(J68,L68)&gt;1,1,NETWORKDAYS(J68,TODAY())/NETWORKDAYS(J68,L68)))</f>
        <v>0</v>
      </c>
      <c r="L68" s="223"/>
      <c r="M68" s="262" t="str">
        <f ca="1">IF(P68&gt;=1,"Done",IF(ISBLANK(L68),"",NETWORKDAYS(TODAY(),L68)))</f>
        <v/>
      </c>
      <c r="N68" s="213"/>
      <c r="O68" s="229">
        <v>0</v>
      </c>
      <c r="P68" s="229">
        <v>0</v>
      </c>
      <c r="Q68" s="226"/>
      <c r="R68" s="227">
        <v>0</v>
      </c>
      <c r="S68" s="227">
        <f>R68/(1-O68)*(1-P68)</f>
        <v>0</v>
      </c>
      <c r="T68" s="66"/>
      <c r="U68" s="66"/>
      <c r="V68" s="71"/>
      <c r="W68" s="95"/>
      <c r="Z68" s="66" t="str">
        <f ca="1">IF(M68="","tbd",IF(M68="Done","",IF(M68&lt;0,Pos_Hilfstabelle!$B$127,IF(M68-S68&lt;0,Pos_Hilfstabelle!$B$126,Pos_Hilfstabelle!$B$125))))</f>
        <v>tbd</v>
      </c>
    </row>
    <row r="69" spans="3:26" ht="18" customHeight="1" outlineLevel="1" thickBot="1">
      <c r="C69" s="201"/>
      <c r="Q69" s="207" t="s">
        <v>136</v>
      </c>
      <c r="R69" s="208">
        <f>SUM(R68:R68)</f>
        <v>0</v>
      </c>
      <c r="S69" s="208">
        <f>IF(R69&lt;&gt;0,SUM(S68:S68),SUM(S68:S68))</f>
        <v>0</v>
      </c>
      <c r="T69" s="206">
        <f>IF(R69=0,0,(R69-S69)/R69)</f>
        <v>0</v>
      </c>
      <c r="Z69" s="17"/>
    </row>
    <row r="70" spans="3:26" ht="15" customHeight="1" outlineLevel="1">
      <c r="C70" s="201"/>
      <c r="R70" s="96"/>
      <c r="S70" s="96"/>
    </row>
    <row r="71" spans="3:26" ht="15" customHeight="1" outlineLevel="1" thickBot="1">
      <c r="C71" s="201"/>
      <c r="R71" s="96"/>
      <c r="S71" s="96"/>
    </row>
    <row r="72" spans="3:26" ht="18" customHeight="1" outlineLevel="1" thickBot="1">
      <c r="C72" s="316"/>
      <c r="D72" s="317" t="s">
        <v>274</v>
      </c>
      <c r="E72" s="241"/>
      <c r="F72" s="242" t="s">
        <v>275</v>
      </c>
      <c r="G72" s="243"/>
      <c r="H72" s="244"/>
      <c r="I72" s="244"/>
      <c r="J72" s="245"/>
      <c r="K72" s="246" t="str">
        <f ca="1">IF(OR(J72="",L72=""),"",IF(NETWORKDAYS(J72,TODAY())/NETWORKDAYS(J72,L72)&gt;1,1,NETWORKDAYS(J72,TODAY())/NETWORKDAYS(J72,L72)))</f>
        <v/>
      </c>
      <c r="L72" s="245"/>
      <c r="M72" s="247" t="str">
        <f ca="1">IF(T74&gt;=1,"Done",IF(ISBLANK(L72),"",NETWORKDAYS(TODAY(),L72)))</f>
        <v/>
      </c>
      <c r="N72" s="248"/>
      <c r="O72" s="248"/>
      <c r="P72" s="248"/>
      <c r="Q72" s="207" t="s">
        <v>3</v>
      </c>
      <c r="R72" s="208">
        <f>Projekteinstellungen!$B$21*195</f>
        <v>195</v>
      </c>
      <c r="S72" s="208">
        <f>$R$72-Projekteinstellungen!$B$21*159.25</f>
        <v>35.75</v>
      </c>
      <c r="T72" s="319">
        <f>IF(R72=0,0,(R72-S72)/R72)</f>
        <v>0.81666666666666665</v>
      </c>
      <c r="U72" s="318"/>
      <c r="V72" s="320">
        <f>(R72-S72)-(R74-S74)</f>
        <v>159.25</v>
      </c>
      <c r="W72" s="200">
        <f>IF(R72=0,"",V72/R72)</f>
        <v>0.81666666666666665</v>
      </c>
      <c r="X72" s="17">
        <v>0</v>
      </c>
      <c r="Y72" s="17">
        <v>0</v>
      </c>
      <c r="Z72" s="66" t="str">
        <f ca="1">IF(M72="","tbd",IF(M72="Done","",IF(M72&lt;0,Pos_Hilfstabelle!$B$127,IF(M72-S72&lt;0,Pos_Hilfstabelle!$B$126,Pos_Hilfstabelle!$B$125))))</f>
        <v>tbd</v>
      </c>
    </row>
    <row r="73" spans="3:26" ht="15" customHeight="1" outlineLevel="1" thickBot="1">
      <c r="C73" s="201"/>
      <c r="D73" s="212"/>
      <c r="E73" s="211"/>
      <c r="F73" s="221"/>
      <c r="G73" s="221"/>
      <c r="H73" s="221"/>
      <c r="I73" s="218"/>
      <c r="J73" s="222"/>
      <c r="K73" s="239">
        <f ca="1">IF(OR(J73="",L73=""),0,IF(NETWORKDAYS(J73,TODAY())/NETWORKDAYS(J73,L73)&gt;1,1,NETWORKDAYS(J73,TODAY())/NETWORKDAYS(J73,L73)))</f>
        <v>0</v>
      </c>
      <c r="L73" s="223"/>
      <c r="M73" s="262" t="str">
        <f ca="1">IF(P73&gt;=1,"Done",IF(ISBLANK(L73),"",NETWORKDAYS(TODAY(),L73)))</f>
        <v/>
      </c>
      <c r="N73" s="213"/>
      <c r="O73" s="229">
        <v>0</v>
      </c>
      <c r="P73" s="229">
        <v>0</v>
      </c>
      <c r="Q73" s="226"/>
      <c r="R73" s="227">
        <v>0</v>
      </c>
      <c r="S73" s="227">
        <f>R73/(1-O73)*(1-P73)</f>
        <v>0</v>
      </c>
      <c r="T73" s="66"/>
      <c r="U73" s="66"/>
      <c r="V73" s="71"/>
      <c r="W73" s="95"/>
      <c r="Z73" s="66" t="str">
        <f ca="1">IF(M73="","tbd",IF(M73="Done","",IF(M73&lt;0,Pos_Hilfstabelle!$B$127,IF(M73-S73&lt;0,Pos_Hilfstabelle!$B$126,Pos_Hilfstabelle!$B$125))))</f>
        <v>tbd</v>
      </c>
    </row>
    <row r="74" spans="3:26" ht="18" customHeight="1" outlineLevel="1" thickBot="1">
      <c r="C74" s="201"/>
      <c r="Q74" s="207" t="s">
        <v>136</v>
      </c>
      <c r="R74" s="208">
        <f>SUM(R73:R73)</f>
        <v>0</v>
      </c>
      <c r="S74" s="208">
        <f>IF(R74&lt;&gt;0,SUM(S73:S73),SUM(S73:S73))</f>
        <v>0</v>
      </c>
      <c r="T74" s="206">
        <f>IF(R74=0,0,(R74-S74)/R74)</f>
        <v>0</v>
      </c>
      <c r="Z74" s="17"/>
    </row>
    <row r="75" spans="3:26" ht="15" customHeight="1" outlineLevel="1">
      <c r="C75" s="201"/>
      <c r="R75" s="96"/>
      <c r="S75" s="96"/>
    </row>
    <row r="76" spans="3:26" ht="15" customHeight="1" outlineLevel="1" thickBot="1">
      <c r="C76" s="201"/>
      <c r="R76" s="96"/>
      <c r="S76" s="96"/>
    </row>
    <row r="77" spans="3:26" ht="18" customHeight="1" outlineLevel="1" thickBot="1">
      <c r="C77" s="316"/>
      <c r="D77" s="317" t="s">
        <v>276</v>
      </c>
      <c r="E77" s="241"/>
      <c r="F77" s="242" t="s">
        <v>277</v>
      </c>
      <c r="G77" s="243"/>
      <c r="H77" s="244"/>
      <c r="I77" s="244"/>
      <c r="J77" s="245"/>
      <c r="K77" s="246" t="str">
        <f ca="1">IF(OR(J77="",L77=""),"",IF(NETWORKDAYS(J77,TODAY())/NETWORKDAYS(J77,L77)&gt;1,1,NETWORKDAYS(J77,TODAY())/NETWORKDAYS(J77,L77)))</f>
        <v/>
      </c>
      <c r="L77" s="245"/>
      <c r="M77" s="247" t="str">
        <f ca="1">IF(T79&gt;=1,"Done",IF(ISBLANK(L77),"",NETWORKDAYS(TODAY(),L77)))</f>
        <v/>
      </c>
      <c r="N77" s="248"/>
      <c r="O77" s="248"/>
      <c r="P77" s="248"/>
      <c r="Q77" s="207" t="s">
        <v>3</v>
      </c>
      <c r="R77" s="208">
        <f>Projekteinstellungen!$B$21*401</f>
        <v>401</v>
      </c>
      <c r="S77" s="208">
        <f>$R$77-Projekteinstellungen!$B$21*137.75</f>
        <v>263.25</v>
      </c>
      <c r="T77" s="319">
        <f>IF(R77=0,0,(R77-S77)/R77)</f>
        <v>0.34351620947630923</v>
      </c>
      <c r="U77" s="318"/>
      <c r="V77" s="320">
        <f>(R77-S77)-(R79-S79)</f>
        <v>137.75</v>
      </c>
      <c r="W77" s="200">
        <f>IF(R77=0,"",V77/R77)</f>
        <v>0.34351620947630923</v>
      </c>
      <c r="X77" s="17">
        <v>0</v>
      </c>
      <c r="Y77" s="17">
        <v>0</v>
      </c>
      <c r="Z77" s="66" t="str">
        <f ca="1">IF(M77="","tbd",IF(M77="Done","",IF(M77&lt;0,Pos_Hilfstabelle!$B$127,IF(M77-S77&lt;0,Pos_Hilfstabelle!$B$126,Pos_Hilfstabelle!$B$125))))</f>
        <v>tbd</v>
      </c>
    </row>
    <row r="78" spans="3:26" ht="15" customHeight="1" outlineLevel="1" thickBot="1">
      <c r="C78" s="201"/>
      <c r="D78" s="212"/>
      <c r="E78" s="211"/>
      <c r="F78" s="221"/>
      <c r="G78" s="221"/>
      <c r="H78" s="221"/>
      <c r="I78" s="218"/>
      <c r="J78" s="222"/>
      <c r="K78" s="239">
        <f ca="1">IF(OR(J78="",L78=""),0,IF(NETWORKDAYS(J78,TODAY())/NETWORKDAYS(J78,L78)&gt;1,1,NETWORKDAYS(J78,TODAY())/NETWORKDAYS(J78,L78)))</f>
        <v>0</v>
      </c>
      <c r="L78" s="223"/>
      <c r="M78" s="262" t="str">
        <f ca="1">IF(P78&gt;=1,"Done",IF(ISBLANK(L78),"",NETWORKDAYS(TODAY(),L78)))</f>
        <v/>
      </c>
      <c r="N78" s="213"/>
      <c r="O78" s="229">
        <v>0</v>
      </c>
      <c r="P78" s="229">
        <v>0</v>
      </c>
      <c r="Q78" s="226"/>
      <c r="R78" s="227">
        <v>0</v>
      </c>
      <c r="S78" s="227">
        <f>R78/(1-O78)*(1-P78)</f>
        <v>0</v>
      </c>
      <c r="T78" s="66"/>
      <c r="U78" s="66"/>
      <c r="V78" s="71"/>
      <c r="W78" s="95"/>
      <c r="Z78" s="66" t="str">
        <f ca="1">IF(M78="","tbd",IF(M78="Done","",IF(M78&lt;0,Pos_Hilfstabelle!$B$127,IF(M78-S78&lt;0,Pos_Hilfstabelle!$B$126,Pos_Hilfstabelle!$B$125))))</f>
        <v>tbd</v>
      </c>
    </row>
    <row r="79" spans="3:26" ht="18" customHeight="1" outlineLevel="1" thickBot="1">
      <c r="C79" s="201"/>
      <c r="Q79" s="207" t="s">
        <v>136</v>
      </c>
      <c r="R79" s="208">
        <f>SUM(R78:R78)</f>
        <v>0</v>
      </c>
      <c r="S79" s="208">
        <f>IF(R79&lt;&gt;0,SUM(S78:S78),SUM(S78:S78))</f>
        <v>0</v>
      </c>
      <c r="T79" s="206">
        <f>IF(R79=0,0,(R79-S79)/R79)</f>
        <v>0</v>
      </c>
      <c r="Z79" s="17"/>
    </row>
    <row r="80" spans="3:26" ht="15" customHeight="1" outlineLevel="1">
      <c r="C80" s="201"/>
      <c r="R80" s="96"/>
      <c r="S80" s="96"/>
    </row>
    <row r="81" spans="3:26" ht="15" customHeight="1" outlineLevel="1" thickBot="1">
      <c r="C81" s="201"/>
      <c r="R81" s="96"/>
      <c r="S81" s="96"/>
    </row>
    <row r="82" spans="3:26" ht="18" customHeight="1" outlineLevel="1" thickBot="1">
      <c r="C82" s="316"/>
      <c r="D82" s="317" t="s">
        <v>278</v>
      </c>
      <c r="E82" s="241"/>
      <c r="F82" s="242" t="s">
        <v>279</v>
      </c>
      <c r="G82" s="243"/>
      <c r="H82" s="244"/>
      <c r="I82" s="244"/>
      <c r="J82" s="245"/>
      <c r="K82" s="246" t="str">
        <f ca="1">IF(OR(J82="",L82=""),"",IF(NETWORKDAYS(J82,TODAY())/NETWORKDAYS(J82,L82)&gt;1,1,NETWORKDAYS(J82,TODAY())/NETWORKDAYS(J82,L82)))</f>
        <v/>
      </c>
      <c r="L82" s="245"/>
      <c r="M82" s="247" t="str">
        <f ca="1">IF(T84&gt;=1,"Done",IF(ISBLANK(L82),"",NETWORKDAYS(TODAY(),L82)))</f>
        <v/>
      </c>
      <c r="N82" s="248"/>
      <c r="O82" s="248"/>
      <c r="P82" s="248"/>
      <c r="Q82" s="207" t="s">
        <v>3</v>
      </c>
      <c r="R82" s="208">
        <f>Projekteinstellungen!$B$21*862</f>
        <v>862</v>
      </c>
      <c r="S82" s="208">
        <f>$R$82-Projekteinstellungen!$B$21*304</f>
        <v>558</v>
      </c>
      <c r="T82" s="319">
        <f>IF(R82=0,0,(R82-S82)/R82)</f>
        <v>0.35266821345707655</v>
      </c>
      <c r="U82" s="318"/>
      <c r="V82" s="320">
        <f>(R82-S82)-(R84-S84)</f>
        <v>304</v>
      </c>
      <c r="W82" s="200">
        <f>IF(R82=0,"",V82/R82)</f>
        <v>0.35266821345707655</v>
      </c>
      <c r="X82" s="17">
        <v>0</v>
      </c>
      <c r="Y82" s="17">
        <v>0</v>
      </c>
      <c r="Z82" s="66" t="str">
        <f ca="1">IF(M82="","tbd",IF(M82="Done","",IF(M82&lt;0,Pos_Hilfstabelle!$B$127,IF(M82-S82&lt;0,Pos_Hilfstabelle!$B$126,Pos_Hilfstabelle!$B$125))))</f>
        <v>tbd</v>
      </c>
    </row>
    <row r="83" spans="3:26" ht="15" customHeight="1" outlineLevel="1" thickBot="1">
      <c r="C83" s="201"/>
      <c r="D83" s="212"/>
      <c r="E83" s="211"/>
      <c r="F83" s="221"/>
      <c r="G83" s="221"/>
      <c r="H83" s="221"/>
      <c r="I83" s="218"/>
      <c r="J83" s="222"/>
      <c r="K83" s="239">
        <f ca="1">IF(OR(J83="",L83=""),0,IF(NETWORKDAYS(J83,TODAY())/NETWORKDAYS(J83,L83)&gt;1,1,NETWORKDAYS(J83,TODAY())/NETWORKDAYS(J83,L83)))</f>
        <v>0</v>
      </c>
      <c r="L83" s="223"/>
      <c r="M83" s="262" t="str">
        <f ca="1">IF(P83&gt;=1,"Done",IF(ISBLANK(L83),"",NETWORKDAYS(TODAY(),L83)))</f>
        <v/>
      </c>
      <c r="N83" s="213"/>
      <c r="O83" s="229">
        <v>0</v>
      </c>
      <c r="P83" s="229">
        <v>0</v>
      </c>
      <c r="Q83" s="226"/>
      <c r="R83" s="227">
        <v>0</v>
      </c>
      <c r="S83" s="227">
        <f>R83/(1-O83)*(1-P83)</f>
        <v>0</v>
      </c>
      <c r="T83" s="66"/>
      <c r="U83" s="66"/>
      <c r="V83" s="71"/>
      <c r="W83" s="95"/>
      <c r="Z83" s="66" t="str">
        <f ca="1">IF(M83="","tbd",IF(M83="Done","",IF(M83&lt;0,Pos_Hilfstabelle!$B$127,IF(M83-S83&lt;0,Pos_Hilfstabelle!$B$126,Pos_Hilfstabelle!$B$125))))</f>
        <v>tbd</v>
      </c>
    </row>
    <row r="84" spans="3:26" ht="18" customHeight="1" outlineLevel="1" thickBot="1">
      <c r="C84" s="201"/>
      <c r="Q84" s="207" t="s">
        <v>136</v>
      </c>
      <c r="R84" s="208">
        <f>SUM(R83:R83)</f>
        <v>0</v>
      </c>
      <c r="S84" s="208">
        <f>IF(R84&lt;&gt;0,SUM(S83:S83),SUM(S83:S83))</f>
        <v>0</v>
      </c>
      <c r="T84" s="206">
        <f>IF(R84=0,0,(R84-S84)/R84)</f>
        <v>0</v>
      </c>
      <c r="Z84" s="17"/>
    </row>
    <row r="85" spans="3:26" ht="15" customHeight="1" outlineLevel="1">
      <c r="C85" s="201"/>
      <c r="R85" s="96"/>
      <c r="S85" s="96"/>
    </row>
    <row r="86" spans="3:26" ht="15" customHeight="1" outlineLevel="1" thickBot="1">
      <c r="C86" s="201"/>
      <c r="R86" s="96"/>
      <c r="S86" s="96"/>
    </row>
    <row r="87" spans="3:26" ht="18" customHeight="1" outlineLevel="1" thickBot="1">
      <c r="C87" s="316"/>
      <c r="D87" s="317" t="s">
        <v>280</v>
      </c>
      <c r="E87" s="241"/>
      <c r="F87" s="242" t="s">
        <v>281</v>
      </c>
      <c r="G87" s="243"/>
      <c r="H87" s="244"/>
      <c r="I87" s="244"/>
      <c r="J87" s="245"/>
      <c r="K87" s="246" t="str">
        <f ca="1">IF(OR(J87="",L87=""),"",IF(NETWORKDAYS(J87,TODAY())/NETWORKDAYS(J87,L87)&gt;1,1,NETWORKDAYS(J87,TODAY())/NETWORKDAYS(J87,L87)))</f>
        <v/>
      </c>
      <c r="L87" s="245"/>
      <c r="M87" s="247" t="str">
        <f ca="1">IF(T89&gt;=1,"Done",IF(ISBLANK(L87),"",NETWORKDAYS(TODAY(),L87)))</f>
        <v/>
      </c>
      <c r="N87" s="248"/>
      <c r="O87" s="248"/>
      <c r="P87" s="248"/>
      <c r="Q87" s="207" t="s">
        <v>3</v>
      </c>
      <c r="R87" s="208">
        <f>Projekteinstellungen!$B$21*180</f>
        <v>180</v>
      </c>
      <c r="S87" s="208">
        <f>$R$87-Projekteinstellungen!$B$21*62.5</f>
        <v>117.5</v>
      </c>
      <c r="T87" s="319">
        <f>IF(R87=0,0,(R87-S87)/R87)</f>
        <v>0.34722222222222221</v>
      </c>
      <c r="U87" s="318"/>
      <c r="V87" s="320">
        <f>(R87-S87)-(R89-S89)</f>
        <v>62.5</v>
      </c>
      <c r="W87" s="200">
        <f>IF(R87=0,"",V87/R87)</f>
        <v>0.34722222222222221</v>
      </c>
      <c r="X87" s="17">
        <v>0</v>
      </c>
      <c r="Y87" s="17">
        <v>0</v>
      </c>
      <c r="Z87" s="66" t="str">
        <f ca="1">IF(M87="","tbd",IF(M87="Done","",IF(M87&lt;0,Pos_Hilfstabelle!$B$127,IF(M87-S87&lt;0,Pos_Hilfstabelle!$B$126,Pos_Hilfstabelle!$B$125))))</f>
        <v>tbd</v>
      </c>
    </row>
    <row r="88" spans="3:26" ht="15" customHeight="1" outlineLevel="1" thickBot="1">
      <c r="C88" s="201"/>
      <c r="D88" s="212"/>
      <c r="E88" s="211"/>
      <c r="F88" s="221"/>
      <c r="G88" s="221"/>
      <c r="H88" s="221"/>
      <c r="I88" s="218"/>
      <c r="J88" s="222"/>
      <c r="K88" s="239">
        <f ca="1">IF(OR(J88="",L88=""),0,IF(NETWORKDAYS(J88,TODAY())/NETWORKDAYS(J88,L88)&gt;1,1,NETWORKDAYS(J88,TODAY())/NETWORKDAYS(J88,L88)))</f>
        <v>0</v>
      </c>
      <c r="L88" s="223"/>
      <c r="M88" s="262" t="str">
        <f ca="1">IF(P88&gt;=1,"Done",IF(ISBLANK(L88),"",NETWORKDAYS(TODAY(),L88)))</f>
        <v/>
      </c>
      <c r="N88" s="213"/>
      <c r="O88" s="229">
        <v>0</v>
      </c>
      <c r="P88" s="229">
        <v>0</v>
      </c>
      <c r="Q88" s="226"/>
      <c r="R88" s="227">
        <v>0</v>
      </c>
      <c r="S88" s="227">
        <f>R88/(1-O88)*(1-P88)</f>
        <v>0</v>
      </c>
      <c r="T88" s="66"/>
      <c r="U88" s="66"/>
      <c r="V88" s="71"/>
      <c r="W88" s="95"/>
      <c r="Z88" s="66" t="str">
        <f ca="1">IF(M88="","tbd",IF(M88="Done","",IF(M88&lt;0,Pos_Hilfstabelle!$B$127,IF(M88-S88&lt;0,Pos_Hilfstabelle!$B$126,Pos_Hilfstabelle!$B$125))))</f>
        <v>tbd</v>
      </c>
    </row>
    <row r="89" spans="3:26" ht="18" customHeight="1" outlineLevel="1" thickBot="1">
      <c r="C89" s="201"/>
      <c r="Q89" s="207" t="s">
        <v>136</v>
      </c>
      <c r="R89" s="208">
        <f>SUM(R88:R88)</f>
        <v>0</v>
      </c>
      <c r="S89" s="208">
        <f>IF(R89&lt;&gt;0,SUM(S88:S88),SUM(S88:S88))</f>
        <v>0</v>
      </c>
      <c r="T89" s="206">
        <f>IF(R89=0,0,(R89-S89)/R89)</f>
        <v>0</v>
      </c>
      <c r="Z89" s="17"/>
    </row>
    <row r="90" spans="3:26" ht="15" customHeight="1" outlineLevel="1">
      <c r="C90" s="201"/>
      <c r="R90" s="96"/>
      <c r="S90" s="96"/>
    </row>
    <row r="91" spans="3:26" ht="15" customHeight="1" outlineLevel="1" thickBot="1">
      <c r="C91" s="201"/>
      <c r="R91" s="96"/>
      <c r="S91" s="96"/>
    </row>
    <row r="92" spans="3:26" ht="18" customHeight="1" outlineLevel="1" thickBot="1">
      <c r="C92" s="316"/>
      <c r="D92" s="317" t="s">
        <v>282</v>
      </c>
      <c r="E92" s="241"/>
      <c r="F92" s="242" t="s">
        <v>283</v>
      </c>
      <c r="G92" s="243"/>
      <c r="H92" s="244"/>
      <c r="I92" s="244"/>
      <c r="J92" s="245"/>
      <c r="K92" s="246" t="str">
        <f ca="1">IF(OR(J92="",L92=""),"",IF(NETWORKDAYS(J92,TODAY())/NETWORKDAYS(J92,L92)&gt;1,1,NETWORKDAYS(J92,TODAY())/NETWORKDAYS(J92,L92)))</f>
        <v/>
      </c>
      <c r="L92" s="245"/>
      <c r="M92" s="247" t="str">
        <f ca="1">IF(T94&gt;=1,"Done",IF(ISBLANK(L92),"",NETWORKDAYS(TODAY(),L92)))</f>
        <v/>
      </c>
      <c r="N92" s="248"/>
      <c r="O92" s="248"/>
      <c r="P92" s="248"/>
      <c r="Q92" s="207" t="s">
        <v>3</v>
      </c>
      <c r="R92" s="208">
        <f>Projekteinstellungen!$B$21*98</f>
        <v>98</v>
      </c>
      <c r="S92" s="208">
        <f>$R$92-Projekteinstellungen!$B$21*16.25</f>
        <v>81.75</v>
      </c>
      <c r="T92" s="319">
        <f>IF(R92=0,0,(R92-S92)/R92)</f>
        <v>0.16581632653061223</v>
      </c>
      <c r="U92" s="318"/>
      <c r="V92" s="320">
        <f>(R92-S92)-(R94-S94)</f>
        <v>16.25</v>
      </c>
      <c r="W92" s="200">
        <f>IF(R92=0,"",V92/R92)</f>
        <v>0.16581632653061223</v>
      </c>
      <c r="X92" s="17">
        <v>0</v>
      </c>
      <c r="Y92" s="17">
        <v>0</v>
      </c>
      <c r="Z92" s="66" t="str">
        <f ca="1">IF(M92="","tbd",IF(M92="Done","",IF(M92&lt;0,Pos_Hilfstabelle!$B$127,IF(M92-S92&lt;0,Pos_Hilfstabelle!$B$126,Pos_Hilfstabelle!$B$125))))</f>
        <v>tbd</v>
      </c>
    </row>
    <row r="93" spans="3:26" ht="15" customHeight="1" outlineLevel="1" thickBot="1">
      <c r="C93" s="201"/>
      <c r="D93" s="212"/>
      <c r="E93" s="211"/>
      <c r="F93" s="221"/>
      <c r="G93" s="221"/>
      <c r="H93" s="221"/>
      <c r="I93" s="218"/>
      <c r="J93" s="222"/>
      <c r="K93" s="239">
        <f ca="1">IF(OR(J93="",L93=""),0,IF(NETWORKDAYS(J93,TODAY())/NETWORKDAYS(J93,L93)&gt;1,1,NETWORKDAYS(J93,TODAY())/NETWORKDAYS(J93,L93)))</f>
        <v>0</v>
      </c>
      <c r="L93" s="223"/>
      <c r="M93" s="262" t="str">
        <f ca="1">IF(P93&gt;=1,"Done",IF(ISBLANK(L93),"",NETWORKDAYS(TODAY(),L93)))</f>
        <v/>
      </c>
      <c r="N93" s="213"/>
      <c r="O93" s="229">
        <v>0</v>
      </c>
      <c r="P93" s="229">
        <v>0</v>
      </c>
      <c r="Q93" s="226"/>
      <c r="R93" s="227">
        <v>0</v>
      </c>
      <c r="S93" s="227">
        <f>R93/(1-O93)*(1-P93)</f>
        <v>0</v>
      </c>
      <c r="T93" s="66"/>
      <c r="U93" s="66"/>
      <c r="V93" s="71"/>
      <c r="W93" s="95"/>
      <c r="Z93" s="66" t="str">
        <f ca="1">IF(M93="","tbd",IF(M93="Done","",IF(M93&lt;0,Pos_Hilfstabelle!$B$127,IF(M93-S93&lt;0,Pos_Hilfstabelle!$B$126,Pos_Hilfstabelle!$B$125))))</f>
        <v>tbd</v>
      </c>
    </row>
    <row r="94" spans="3:26" ht="18" customHeight="1" outlineLevel="1" thickBot="1">
      <c r="C94" s="201"/>
      <c r="Q94" s="207" t="s">
        <v>136</v>
      </c>
      <c r="R94" s="208">
        <f>SUM(R93:R93)</f>
        <v>0</v>
      </c>
      <c r="S94" s="208">
        <f>IF(R94&lt;&gt;0,SUM(S93:S93),SUM(S93:S93))</f>
        <v>0</v>
      </c>
      <c r="T94" s="206">
        <f>IF(R94=0,0,(R94-S94)/R94)</f>
        <v>0</v>
      </c>
      <c r="Z94" s="17"/>
    </row>
    <row r="95" spans="3:26" ht="15" customHeight="1" outlineLevel="1">
      <c r="C95" s="201"/>
      <c r="R95" s="96"/>
      <c r="S95" s="96"/>
    </row>
    <row r="96" spans="3:26" ht="15" customHeight="1" outlineLevel="1" thickBot="1">
      <c r="C96" s="201"/>
      <c r="R96" s="96"/>
      <c r="S96" s="96"/>
    </row>
    <row r="97" spans="3:26" ht="18" customHeight="1" outlineLevel="1" thickBot="1">
      <c r="C97" s="316"/>
      <c r="D97" s="317" t="s">
        <v>284</v>
      </c>
      <c r="E97" s="241"/>
      <c r="F97" s="242" t="s">
        <v>285</v>
      </c>
      <c r="G97" s="243"/>
      <c r="H97" s="244"/>
      <c r="I97" s="244"/>
      <c r="J97" s="245"/>
      <c r="K97" s="246" t="str">
        <f ca="1">IF(OR(J97="",L97=""),"",IF(NETWORKDAYS(J97,TODAY())/NETWORKDAYS(J97,L97)&gt;1,1,NETWORKDAYS(J97,TODAY())/NETWORKDAYS(J97,L97)))</f>
        <v/>
      </c>
      <c r="L97" s="245"/>
      <c r="M97" s="247" t="str">
        <f ca="1">IF(T99&gt;=1,"Done",IF(ISBLANK(L97),"",NETWORKDAYS(TODAY(),L97)))</f>
        <v/>
      </c>
      <c r="N97" s="248"/>
      <c r="O97" s="248"/>
      <c r="P97" s="248"/>
      <c r="Q97" s="207" t="s">
        <v>3</v>
      </c>
      <c r="R97" s="208">
        <f>Projekteinstellungen!$B$21*98</f>
        <v>98</v>
      </c>
      <c r="S97" s="208">
        <f>$R$97-Projekteinstellungen!$B$21*7.25</f>
        <v>90.75</v>
      </c>
      <c r="T97" s="319">
        <f>IF(R97=0,0,(R97-S97)/R97)</f>
        <v>7.3979591836734693E-2</v>
      </c>
      <c r="U97" s="318"/>
      <c r="V97" s="320">
        <f>(R97-S97)-(R99-S99)</f>
        <v>7.25</v>
      </c>
      <c r="W97" s="200">
        <f>IF(R97=0,"",V97/R97)</f>
        <v>7.3979591836734693E-2</v>
      </c>
      <c r="X97" s="17">
        <v>0</v>
      </c>
      <c r="Y97" s="17">
        <v>0</v>
      </c>
      <c r="Z97" s="66" t="str">
        <f ca="1">IF(M97="","tbd",IF(M97="Done","",IF(M97&lt;0,Pos_Hilfstabelle!$B$127,IF(M97-S97&lt;0,Pos_Hilfstabelle!$B$126,Pos_Hilfstabelle!$B$125))))</f>
        <v>tbd</v>
      </c>
    </row>
    <row r="98" spans="3:26" ht="15" customHeight="1" outlineLevel="1" thickBot="1">
      <c r="C98" s="201"/>
      <c r="D98" s="212"/>
      <c r="E98" s="211"/>
      <c r="F98" s="221"/>
      <c r="G98" s="221"/>
      <c r="H98" s="221"/>
      <c r="I98" s="218"/>
      <c r="J98" s="222"/>
      <c r="K98" s="239">
        <f ca="1">IF(OR(J98="",L98=""),0,IF(NETWORKDAYS(J98,TODAY())/NETWORKDAYS(J98,L98)&gt;1,1,NETWORKDAYS(J98,TODAY())/NETWORKDAYS(J98,L98)))</f>
        <v>0</v>
      </c>
      <c r="L98" s="223"/>
      <c r="M98" s="262" t="str">
        <f ca="1">IF(P98&gt;=1,"Done",IF(ISBLANK(L98),"",NETWORKDAYS(TODAY(),L98)))</f>
        <v/>
      </c>
      <c r="N98" s="213"/>
      <c r="O98" s="229">
        <v>0</v>
      </c>
      <c r="P98" s="229">
        <v>0</v>
      </c>
      <c r="Q98" s="226"/>
      <c r="R98" s="227">
        <v>0</v>
      </c>
      <c r="S98" s="227">
        <f>R98/(1-O98)*(1-P98)</f>
        <v>0</v>
      </c>
      <c r="T98" s="66"/>
      <c r="U98" s="66"/>
      <c r="V98" s="71"/>
      <c r="W98" s="95"/>
      <c r="Z98" s="66" t="str">
        <f ca="1">IF(M98="","tbd",IF(M98="Done","",IF(M98&lt;0,Pos_Hilfstabelle!$B$127,IF(M98-S98&lt;0,Pos_Hilfstabelle!$B$126,Pos_Hilfstabelle!$B$125))))</f>
        <v>tbd</v>
      </c>
    </row>
    <row r="99" spans="3:26" ht="18" customHeight="1" outlineLevel="1" thickBot="1">
      <c r="C99" s="201"/>
      <c r="Q99" s="207" t="s">
        <v>136</v>
      </c>
      <c r="R99" s="208">
        <f>SUM(R98:R98)</f>
        <v>0</v>
      </c>
      <c r="S99" s="208">
        <f>IF(R99&lt;&gt;0,SUM(S98:S98),SUM(S98:S98))</f>
        <v>0</v>
      </c>
      <c r="T99" s="206">
        <f>IF(R99=0,0,(R99-S99)/R99)</f>
        <v>0</v>
      </c>
      <c r="Z99" s="17"/>
    </row>
    <row r="100" spans="3:26" ht="15" customHeight="1" outlineLevel="1">
      <c r="C100" s="201"/>
      <c r="R100" s="96"/>
      <c r="S100" s="96"/>
    </row>
    <row r="101" spans="3:26" ht="15" customHeight="1" outlineLevel="1" thickBot="1">
      <c r="C101" s="201"/>
      <c r="R101" s="96"/>
      <c r="S101" s="96"/>
    </row>
    <row r="102" spans="3:26" ht="18" customHeight="1" outlineLevel="1" thickBot="1">
      <c r="C102" s="316"/>
      <c r="D102" s="317" t="s">
        <v>286</v>
      </c>
      <c r="E102" s="241"/>
      <c r="F102" s="242" t="s">
        <v>287</v>
      </c>
      <c r="G102" s="243"/>
      <c r="H102" s="244"/>
      <c r="I102" s="244"/>
      <c r="J102" s="245"/>
      <c r="K102" s="246" t="str">
        <f ca="1">IF(OR(J102="",L102=""),"",IF(NETWORKDAYS(J102,TODAY())/NETWORKDAYS(J102,L102)&gt;1,1,NETWORKDAYS(J102,TODAY())/NETWORKDAYS(J102,L102)))</f>
        <v/>
      </c>
      <c r="L102" s="245"/>
      <c r="M102" s="247" t="str">
        <f ca="1">IF(T104&gt;=1,"Done",IF(ISBLANK(L102),"",NETWORKDAYS(TODAY(),L102)))</f>
        <v/>
      </c>
      <c r="N102" s="248"/>
      <c r="O102" s="248"/>
      <c r="P102" s="248"/>
      <c r="Q102" s="207" t="s">
        <v>3</v>
      </c>
      <c r="R102" s="208">
        <f>Projekteinstellungen!$B$21*100</f>
        <v>100</v>
      </c>
      <c r="S102" s="208">
        <f>$R$102-Projekteinstellungen!$B$21*4.75</f>
        <v>95.25</v>
      </c>
      <c r="T102" s="319">
        <f>IF(R102=0,0,(R102-S102)/R102)</f>
        <v>4.7500000000000001E-2</v>
      </c>
      <c r="U102" s="318"/>
      <c r="V102" s="320">
        <f>(R102-S102)-(R104-S104)</f>
        <v>4.75</v>
      </c>
      <c r="W102" s="200">
        <f>IF(R102=0,"",V102/R102)</f>
        <v>4.7500000000000001E-2</v>
      </c>
      <c r="X102" s="17">
        <v>0</v>
      </c>
      <c r="Y102" s="17">
        <v>0</v>
      </c>
      <c r="Z102" s="66" t="str">
        <f ca="1">IF(M102="","tbd",IF(M102="Done","",IF(M102&lt;0,Pos_Hilfstabelle!$B$127,IF(M102-S102&lt;0,Pos_Hilfstabelle!$B$126,Pos_Hilfstabelle!$B$125))))</f>
        <v>tbd</v>
      </c>
    </row>
    <row r="103" spans="3:26" ht="15" customHeight="1" outlineLevel="1" thickBot="1">
      <c r="C103" s="201"/>
      <c r="D103" s="212"/>
      <c r="E103" s="211"/>
      <c r="F103" s="221"/>
      <c r="G103" s="221"/>
      <c r="H103" s="221"/>
      <c r="I103" s="218"/>
      <c r="J103" s="222"/>
      <c r="K103" s="239">
        <f ca="1">IF(OR(J103="",L103=""),0,IF(NETWORKDAYS(J103,TODAY())/NETWORKDAYS(J103,L103)&gt;1,1,NETWORKDAYS(J103,TODAY())/NETWORKDAYS(J103,L103)))</f>
        <v>0</v>
      </c>
      <c r="L103" s="223"/>
      <c r="M103" s="262" t="str">
        <f ca="1">IF(P103&gt;=1,"Done",IF(ISBLANK(L103),"",NETWORKDAYS(TODAY(),L103)))</f>
        <v/>
      </c>
      <c r="N103" s="213"/>
      <c r="O103" s="229">
        <v>0</v>
      </c>
      <c r="P103" s="229">
        <v>0</v>
      </c>
      <c r="Q103" s="226"/>
      <c r="R103" s="227">
        <v>0</v>
      </c>
      <c r="S103" s="227">
        <f>R103/(1-O103)*(1-P103)</f>
        <v>0</v>
      </c>
      <c r="T103" s="66"/>
      <c r="U103" s="66"/>
      <c r="V103" s="71"/>
      <c r="W103" s="95"/>
      <c r="Z103" s="66" t="str">
        <f ca="1">IF(M103="","tbd",IF(M103="Done","",IF(M103&lt;0,Pos_Hilfstabelle!$B$127,IF(M103-S103&lt;0,Pos_Hilfstabelle!$B$126,Pos_Hilfstabelle!$B$125))))</f>
        <v>tbd</v>
      </c>
    </row>
    <row r="104" spans="3:26" ht="18" customHeight="1" outlineLevel="1" thickBot="1">
      <c r="C104" s="201"/>
      <c r="Q104" s="207" t="s">
        <v>136</v>
      </c>
      <c r="R104" s="208">
        <f>SUM(R103:R103)</f>
        <v>0</v>
      </c>
      <c r="S104" s="208">
        <f>IF(R104&lt;&gt;0,SUM(S103:S103),SUM(S103:S103))</f>
        <v>0</v>
      </c>
      <c r="T104" s="206">
        <f>IF(R104=0,0,(R104-S104)/R104)</f>
        <v>0</v>
      </c>
      <c r="Z104" s="17"/>
    </row>
    <row r="105" spans="3:26" ht="15" customHeight="1" outlineLevel="1">
      <c r="C105" s="201"/>
      <c r="R105" s="96"/>
      <c r="S105" s="96"/>
    </row>
    <row r="106" spans="3:26" ht="15" customHeight="1" outlineLevel="1" thickBot="1">
      <c r="C106" s="201"/>
      <c r="R106" s="96"/>
      <c r="S106" s="96"/>
    </row>
    <row r="107" spans="3:26" ht="18" customHeight="1" outlineLevel="1" thickBot="1">
      <c r="C107" s="316"/>
      <c r="D107" s="317" t="s">
        <v>290</v>
      </c>
      <c r="E107" s="241"/>
      <c r="F107" s="242" t="s">
        <v>291</v>
      </c>
      <c r="G107" s="243"/>
      <c r="H107" s="244"/>
      <c r="I107" s="244"/>
      <c r="J107" s="245"/>
      <c r="K107" s="246" t="str">
        <f ca="1">IF(OR(J107="",L107=""),"",IF(NETWORKDAYS(J107,TODAY())/NETWORKDAYS(J107,L107)&gt;1,1,NETWORKDAYS(J107,TODAY())/NETWORKDAYS(J107,L107)))</f>
        <v/>
      </c>
      <c r="L107" s="245"/>
      <c r="M107" s="247" t="str">
        <f ca="1">IF(T109&gt;=1,"Done",IF(ISBLANK(L107),"",NETWORKDAYS(TODAY(),L107)))</f>
        <v/>
      </c>
      <c r="N107" s="248"/>
      <c r="O107" s="248"/>
      <c r="P107" s="248"/>
      <c r="Q107" s="207" t="s">
        <v>3</v>
      </c>
      <c r="R107" s="208">
        <f>Projekteinstellungen!$B$21*309</f>
        <v>309</v>
      </c>
      <c r="S107" s="208">
        <f>$R$107-Projekteinstellungen!$B$21*82.25</f>
        <v>226.75</v>
      </c>
      <c r="T107" s="319">
        <f>IF(R107=0,0,(R107-S107)/R107)</f>
        <v>0.26618122977346276</v>
      </c>
      <c r="U107" s="318"/>
      <c r="V107" s="320">
        <f>(R107-S107)-(R109-S109)</f>
        <v>82.25</v>
      </c>
      <c r="W107" s="200">
        <f>IF(R107=0,"",V107/R107)</f>
        <v>0.26618122977346276</v>
      </c>
      <c r="X107" s="17">
        <v>0</v>
      </c>
      <c r="Y107" s="17">
        <v>0</v>
      </c>
      <c r="Z107" s="66" t="str">
        <f ca="1">IF(M107="","tbd",IF(M107="Done","",IF(M107&lt;0,Pos_Hilfstabelle!$B$127,IF(M107-S107&lt;0,Pos_Hilfstabelle!$B$126,Pos_Hilfstabelle!$B$125))))</f>
        <v>tbd</v>
      </c>
    </row>
    <row r="108" spans="3:26" ht="15" customHeight="1" outlineLevel="1" thickBot="1">
      <c r="C108" s="201"/>
      <c r="D108" s="212"/>
      <c r="E108" s="211"/>
      <c r="F108" s="221"/>
      <c r="G108" s="221"/>
      <c r="H108" s="221"/>
      <c r="I108" s="218"/>
      <c r="J108" s="222"/>
      <c r="K108" s="239">
        <f ca="1">IF(OR(J108="",L108=""),0,IF(NETWORKDAYS(J108,TODAY())/NETWORKDAYS(J108,L108)&gt;1,1,NETWORKDAYS(J108,TODAY())/NETWORKDAYS(J108,L108)))</f>
        <v>0</v>
      </c>
      <c r="L108" s="223"/>
      <c r="M108" s="262" t="str">
        <f ca="1">IF(P108&gt;=1,"Done",IF(ISBLANK(L108),"",NETWORKDAYS(TODAY(),L108)))</f>
        <v/>
      </c>
      <c r="N108" s="213"/>
      <c r="O108" s="229">
        <v>0</v>
      </c>
      <c r="P108" s="229">
        <v>0</v>
      </c>
      <c r="Q108" s="226"/>
      <c r="R108" s="227">
        <v>0</v>
      </c>
      <c r="S108" s="227">
        <f>R108/(1-O108)*(1-P108)</f>
        <v>0</v>
      </c>
      <c r="T108" s="66"/>
      <c r="U108" s="66"/>
      <c r="V108" s="71"/>
      <c r="W108" s="95"/>
      <c r="Z108" s="66" t="str">
        <f ca="1">IF(M108="","tbd",IF(M108="Done","",IF(M108&lt;0,Pos_Hilfstabelle!$B$127,IF(M108-S108&lt;0,Pos_Hilfstabelle!$B$126,Pos_Hilfstabelle!$B$125))))</f>
        <v>tbd</v>
      </c>
    </row>
    <row r="109" spans="3:26" ht="18" customHeight="1" outlineLevel="1" thickBot="1">
      <c r="C109" s="201"/>
      <c r="Q109" s="207" t="s">
        <v>136</v>
      </c>
      <c r="R109" s="208">
        <f>SUM(R108:R108)</f>
        <v>0</v>
      </c>
      <c r="S109" s="208">
        <f>IF(R109&lt;&gt;0,SUM(S108:S108),SUM(S108:S108))</f>
        <v>0</v>
      </c>
      <c r="T109" s="206">
        <f>IF(R109=0,0,(R109-S109)/R109)</f>
        <v>0</v>
      </c>
      <c r="Z109" s="17"/>
    </row>
    <row r="110" spans="3:26" ht="15" customHeight="1" outlineLevel="1">
      <c r="C110" s="201"/>
      <c r="R110" s="96"/>
      <c r="S110" s="96"/>
    </row>
    <row r="111" spans="3:26" ht="15" customHeight="1" outlineLevel="1" thickBot="1">
      <c r="C111" s="201"/>
      <c r="R111" s="96"/>
      <c r="S111" s="96"/>
    </row>
    <row r="112" spans="3:26" ht="18" customHeight="1" outlineLevel="1" thickBot="1">
      <c r="C112" s="316"/>
      <c r="D112" s="317" t="s">
        <v>292</v>
      </c>
      <c r="E112" s="241"/>
      <c r="F112" s="242" t="s">
        <v>293</v>
      </c>
      <c r="G112" s="243"/>
      <c r="H112" s="244"/>
      <c r="I112" s="244"/>
      <c r="J112" s="245"/>
      <c r="K112" s="246" t="str">
        <f ca="1">IF(OR(J112="",L112=""),"",IF(NETWORKDAYS(J112,TODAY())/NETWORKDAYS(J112,L112)&gt;1,1,NETWORKDAYS(J112,TODAY())/NETWORKDAYS(J112,L112)))</f>
        <v/>
      </c>
      <c r="L112" s="245"/>
      <c r="M112" s="247" t="str">
        <f ca="1">IF(T114&gt;=1,"Done",IF(ISBLANK(L112),"",NETWORKDAYS(TODAY(),L112)))</f>
        <v/>
      </c>
      <c r="N112" s="248"/>
      <c r="O112" s="248"/>
      <c r="P112" s="248"/>
      <c r="Q112" s="207" t="s">
        <v>3</v>
      </c>
      <c r="R112" s="208">
        <f>Projekteinstellungen!$B$21*132</f>
        <v>132</v>
      </c>
      <c r="S112" s="208">
        <f>$R$112-Projekteinstellungen!$B$21*26</f>
        <v>106</v>
      </c>
      <c r="T112" s="319">
        <f>IF(R112=0,0,(R112-S112)/R112)</f>
        <v>0.19696969696969696</v>
      </c>
      <c r="U112" s="318"/>
      <c r="V112" s="320">
        <f>(R112-S112)-(R114-S114)</f>
        <v>26</v>
      </c>
      <c r="W112" s="200">
        <f>IF(R112=0,"",V112/R112)</f>
        <v>0.19696969696969696</v>
      </c>
      <c r="X112" s="17">
        <v>0</v>
      </c>
      <c r="Y112" s="17">
        <v>0</v>
      </c>
      <c r="Z112" s="66" t="str">
        <f ca="1">IF(M112="","tbd",IF(M112="Done","",IF(M112&lt;0,Pos_Hilfstabelle!$B$127,IF(M112-S112&lt;0,Pos_Hilfstabelle!$B$126,Pos_Hilfstabelle!$B$125))))</f>
        <v>tbd</v>
      </c>
    </row>
    <row r="113" spans="3:26" ht="15" customHeight="1" outlineLevel="1" thickBot="1">
      <c r="C113" s="201"/>
      <c r="D113" s="212"/>
      <c r="E113" s="211"/>
      <c r="F113" s="221"/>
      <c r="G113" s="221"/>
      <c r="H113" s="221"/>
      <c r="I113" s="218"/>
      <c r="J113" s="222"/>
      <c r="K113" s="239">
        <f ca="1">IF(OR(J113="",L113=""),0,IF(NETWORKDAYS(J113,TODAY())/NETWORKDAYS(J113,L113)&gt;1,1,NETWORKDAYS(J113,TODAY())/NETWORKDAYS(J113,L113)))</f>
        <v>0</v>
      </c>
      <c r="L113" s="223"/>
      <c r="M113" s="262" t="str">
        <f ca="1">IF(P113&gt;=1,"Done",IF(ISBLANK(L113),"",NETWORKDAYS(TODAY(),L113)))</f>
        <v/>
      </c>
      <c r="N113" s="213"/>
      <c r="O113" s="229">
        <v>0</v>
      </c>
      <c r="P113" s="229">
        <v>0</v>
      </c>
      <c r="Q113" s="226"/>
      <c r="R113" s="227">
        <v>0</v>
      </c>
      <c r="S113" s="227">
        <f>R113/(1-O113)*(1-P113)</f>
        <v>0</v>
      </c>
      <c r="T113" s="66"/>
      <c r="U113" s="66"/>
      <c r="V113" s="71"/>
      <c r="W113" s="95"/>
      <c r="Z113" s="66" t="str">
        <f ca="1">IF(M113="","tbd",IF(M113="Done","",IF(M113&lt;0,Pos_Hilfstabelle!$B$127,IF(M113-S113&lt;0,Pos_Hilfstabelle!$B$126,Pos_Hilfstabelle!$B$125))))</f>
        <v>tbd</v>
      </c>
    </row>
    <row r="114" spans="3:26" ht="18" customHeight="1" outlineLevel="1" thickBot="1">
      <c r="C114" s="201"/>
      <c r="Q114" s="207" t="s">
        <v>136</v>
      </c>
      <c r="R114" s="208">
        <f>SUM(R113:R113)</f>
        <v>0</v>
      </c>
      <c r="S114" s="208">
        <f>IF(R114&lt;&gt;0,SUM(S113:S113),SUM(S113:S113))</f>
        <v>0</v>
      </c>
      <c r="T114" s="206">
        <f>IF(R114=0,0,(R114-S114)/R114)</f>
        <v>0</v>
      </c>
      <c r="Z114" s="17"/>
    </row>
    <row r="115" spans="3:26" ht="15" customHeight="1" outlineLevel="1">
      <c r="C115" s="201"/>
      <c r="R115" s="96"/>
      <c r="S115" s="96"/>
    </row>
    <row r="116" spans="3:26" ht="15" customHeight="1" outlineLevel="1" thickBot="1">
      <c r="C116" s="201"/>
      <c r="R116" s="96"/>
      <c r="S116" s="96"/>
    </row>
    <row r="117" spans="3:26" ht="18" customHeight="1" outlineLevel="1" thickBot="1">
      <c r="C117" s="316"/>
      <c r="D117" s="317" t="s">
        <v>294</v>
      </c>
      <c r="E117" s="241"/>
      <c r="F117" s="242" t="s">
        <v>295</v>
      </c>
      <c r="G117" s="243"/>
      <c r="H117" s="244"/>
      <c r="I117" s="244"/>
      <c r="J117" s="245"/>
      <c r="K117" s="246" t="str">
        <f ca="1">IF(OR(J117="",L117=""),"",IF(NETWORKDAYS(J117,TODAY())/NETWORKDAYS(J117,L117)&gt;1,1,NETWORKDAYS(J117,TODAY())/NETWORKDAYS(J117,L117)))</f>
        <v/>
      </c>
      <c r="L117" s="245"/>
      <c r="M117" s="247" t="str">
        <f ca="1">IF(T119&gt;=1,"Done",IF(ISBLANK(L117),"",NETWORKDAYS(TODAY(),L117)))</f>
        <v/>
      </c>
      <c r="N117" s="248"/>
      <c r="O117" s="248"/>
      <c r="P117" s="248"/>
      <c r="Q117" s="207" t="s">
        <v>3</v>
      </c>
      <c r="R117" s="208">
        <f>Projekteinstellungen!$B$21*652</f>
        <v>652</v>
      </c>
      <c r="S117" s="208">
        <f>$R$117-Projekteinstellungen!$B$21*533.25</f>
        <v>118.75</v>
      </c>
      <c r="T117" s="319">
        <f>IF(R117=0,0,(R117-S117)/R117)</f>
        <v>0.81786809815950923</v>
      </c>
      <c r="U117" s="318"/>
      <c r="V117" s="320">
        <f>(R117-S117)-(R119-S119)</f>
        <v>533.25</v>
      </c>
      <c r="W117" s="200">
        <f>IF(R117=0,"",V117/R117)</f>
        <v>0.81786809815950923</v>
      </c>
      <c r="X117" s="17">
        <v>0</v>
      </c>
      <c r="Y117" s="17">
        <v>0</v>
      </c>
      <c r="Z117" s="66" t="str">
        <f ca="1">IF(M117="","tbd",IF(M117="Done","",IF(M117&lt;0,Pos_Hilfstabelle!$B$127,IF(M117-S117&lt;0,Pos_Hilfstabelle!$B$126,Pos_Hilfstabelle!$B$125))))</f>
        <v>tbd</v>
      </c>
    </row>
    <row r="118" spans="3:26" ht="15" customHeight="1" outlineLevel="1" thickBot="1">
      <c r="C118" s="201"/>
      <c r="D118" s="212"/>
      <c r="E118" s="211"/>
      <c r="F118" s="221"/>
      <c r="G118" s="221"/>
      <c r="H118" s="221"/>
      <c r="I118" s="218"/>
      <c r="J118" s="222"/>
      <c r="K118" s="239">
        <f ca="1">IF(OR(J118="",L118=""),0,IF(NETWORKDAYS(J118,TODAY())/NETWORKDAYS(J118,L118)&gt;1,1,NETWORKDAYS(J118,TODAY())/NETWORKDAYS(J118,L118)))</f>
        <v>0</v>
      </c>
      <c r="L118" s="223"/>
      <c r="M118" s="262" t="str">
        <f ca="1">IF(P118&gt;=1,"Done",IF(ISBLANK(L118),"",NETWORKDAYS(TODAY(),L118)))</f>
        <v/>
      </c>
      <c r="N118" s="213"/>
      <c r="O118" s="229">
        <v>0</v>
      </c>
      <c r="P118" s="229">
        <v>0</v>
      </c>
      <c r="Q118" s="226"/>
      <c r="R118" s="227">
        <v>0</v>
      </c>
      <c r="S118" s="227">
        <f>R118/(1-O118)*(1-P118)</f>
        <v>0</v>
      </c>
      <c r="T118" s="66"/>
      <c r="U118" s="66"/>
      <c r="V118" s="71"/>
      <c r="W118" s="95"/>
      <c r="Z118" s="66" t="str">
        <f ca="1">IF(M118="","tbd",IF(M118="Done","",IF(M118&lt;0,Pos_Hilfstabelle!$B$127,IF(M118-S118&lt;0,Pos_Hilfstabelle!$B$126,Pos_Hilfstabelle!$B$125))))</f>
        <v>tbd</v>
      </c>
    </row>
    <row r="119" spans="3:26" ht="18" customHeight="1" outlineLevel="1" thickBot="1">
      <c r="C119" s="201"/>
      <c r="Q119" s="207" t="s">
        <v>136</v>
      </c>
      <c r="R119" s="208">
        <f>SUM(R118:R118)</f>
        <v>0</v>
      </c>
      <c r="S119" s="208">
        <f>IF(R119&lt;&gt;0,SUM(S118:S118),SUM(S118:S118))</f>
        <v>0</v>
      </c>
      <c r="T119" s="206">
        <f>IF(R119=0,0,(R119-S119)/R119)</f>
        <v>0</v>
      </c>
      <c r="Z119" s="17"/>
    </row>
    <row r="120" spans="3:26" ht="15" customHeight="1" outlineLevel="1">
      <c r="C120" s="201"/>
      <c r="R120" s="96"/>
      <c r="S120" s="96"/>
    </row>
    <row r="121" spans="3:26" ht="15" customHeight="1" outlineLevel="1" thickBot="1">
      <c r="C121" s="201"/>
      <c r="R121" s="96"/>
      <c r="S121" s="96"/>
    </row>
    <row r="122" spans="3:26" ht="18" customHeight="1" outlineLevel="1" thickBot="1">
      <c r="C122" s="316"/>
      <c r="D122" s="317" t="s">
        <v>296</v>
      </c>
      <c r="E122" s="241"/>
      <c r="F122" s="242" t="s">
        <v>297</v>
      </c>
      <c r="G122" s="243"/>
      <c r="H122" s="244" t="s">
        <v>298</v>
      </c>
      <c r="I122" s="244"/>
      <c r="J122" s="245"/>
      <c r="K122" s="246" t="str">
        <f ca="1">IF(OR(J122="",L122=""),"",IF(NETWORKDAYS(J122,TODAY())/NETWORKDAYS(J122,L122)&gt;1,1,NETWORKDAYS(J122,TODAY())/NETWORKDAYS(J122,L122)))</f>
        <v/>
      </c>
      <c r="L122" s="245"/>
      <c r="M122" s="247" t="str">
        <f ca="1">IF(T124&gt;=1,"Done",IF(ISBLANK(L122),"",NETWORKDAYS(TODAY(),L122)))</f>
        <v/>
      </c>
      <c r="N122" s="248"/>
      <c r="O122" s="248"/>
      <c r="P122" s="248"/>
      <c r="Q122" s="207" t="s">
        <v>3</v>
      </c>
      <c r="R122" s="208">
        <f>Projekteinstellungen!$B$21*118</f>
        <v>118</v>
      </c>
      <c r="S122" s="208">
        <f>$R$122-Projekteinstellungen!$B$21*0</f>
        <v>118</v>
      </c>
      <c r="T122" s="319">
        <f>IF(R122=0,0,(R122-S122)/R122)</f>
        <v>0</v>
      </c>
      <c r="U122" s="318"/>
      <c r="V122" s="320">
        <f>(R122-S122)-(R124-S124)</f>
        <v>0</v>
      </c>
      <c r="W122" s="200">
        <f>IF(R122=0,"",V122/R122)</f>
        <v>0</v>
      </c>
      <c r="X122" s="17">
        <v>0</v>
      </c>
      <c r="Y122" s="17">
        <v>0</v>
      </c>
      <c r="Z122" s="66" t="str">
        <f ca="1">IF(M122="","tbd",IF(M122="Done","",IF(M122&lt;0,Pos_Hilfstabelle!$B$127,IF(M122-S122&lt;0,Pos_Hilfstabelle!$B$126,Pos_Hilfstabelle!$B$125))))</f>
        <v>tbd</v>
      </c>
    </row>
    <row r="123" spans="3:26" ht="15" customHeight="1" outlineLevel="1" thickBot="1">
      <c r="C123" s="201"/>
      <c r="D123" s="212"/>
      <c r="E123" s="211"/>
      <c r="F123" s="221"/>
      <c r="G123" s="221"/>
      <c r="H123" s="221"/>
      <c r="I123" s="218"/>
      <c r="J123" s="222"/>
      <c r="K123" s="239">
        <f ca="1">IF(OR(J123="",L123=""),0,IF(NETWORKDAYS(J123,TODAY())/NETWORKDAYS(J123,L123)&gt;1,1,NETWORKDAYS(J123,TODAY())/NETWORKDAYS(J123,L123)))</f>
        <v>0</v>
      </c>
      <c r="L123" s="223"/>
      <c r="M123" s="262" t="str">
        <f ca="1">IF(P123&gt;=1,"Done",IF(ISBLANK(L123),"",NETWORKDAYS(TODAY(),L123)))</f>
        <v/>
      </c>
      <c r="N123" s="213"/>
      <c r="O123" s="229">
        <v>0</v>
      </c>
      <c r="P123" s="229">
        <v>0</v>
      </c>
      <c r="Q123" s="226"/>
      <c r="R123" s="227">
        <v>0</v>
      </c>
      <c r="S123" s="227">
        <f>R123/(1-O123)*(1-P123)</f>
        <v>0</v>
      </c>
      <c r="T123" s="66"/>
      <c r="U123" s="66"/>
      <c r="V123" s="71"/>
      <c r="W123" s="95"/>
      <c r="Z123" s="66" t="str">
        <f ca="1">IF(M123="","tbd",IF(M123="Done","",IF(M123&lt;0,Pos_Hilfstabelle!$B$127,IF(M123-S123&lt;0,Pos_Hilfstabelle!$B$126,Pos_Hilfstabelle!$B$125))))</f>
        <v>tbd</v>
      </c>
    </row>
    <row r="124" spans="3:26" ht="18" customHeight="1" outlineLevel="1" thickBot="1">
      <c r="C124" s="201"/>
      <c r="Q124" s="207" t="s">
        <v>136</v>
      </c>
      <c r="R124" s="208">
        <f>SUM(R123:R123)</f>
        <v>0</v>
      </c>
      <c r="S124" s="208">
        <f>IF(R124&lt;&gt;0,SUM(S123:S123),SUM(S123:S123))</f>
        <v>0</v>
      </c>
      <c r="T124" s="206">
        <f>IF(R124=0,0,(R124-S124)/R124)</f>
        <v>0</v>
      </c>
      <c r="Z124" s="17"/>
    </row>
    <row r="125" spans="3:26" ht="15" customHeight="1" outlineLevel="1">
      <c r="C125" s="201"/>
      <c r="R125" s="96"/>
      <c r="S125" s="96"/>
    </row>
    <row r="126" spans="3:26" ht="15" customHeight="1" outlineLevel="1" thickBot="1">
      <c r="C126" s="201"/>
      <c r="R126" s="96"/>
      <c r="S126" s="96"/>
    </row>
    <row r="127" spans="3:26" ht="18" customHeight="1" outlineLevel="1" thickBot="1">
      <c r="C127" s="316"/>
      <c r="D127" s="317" t="s">
        <v>299</v>
      </c>
      <c r="E127" s="241"/>
      <c r="F127" s="242" t="s">
        <v>300</v>
      </c>
      <c r="G127" s="243"/>
      <c r="H127" s="244"/>
      <c r="I127" s="244"/>
      <c r="J127" s="245"/>
      <c r="K127" s="246" t="str">
        <f ca="1">IF(OR(J127="",L127=""),"",IF(NETWORKDAYS(J127,TODAY())/NETWORKDAYS(J127,L127)&gt;1,1,NETWORKDAYS(J127,TODAY())/NETWORKDAYS(J127,L127)))</f>
        <v/>
      </c>
      <c r="L127" s="245"/>
      <c r="M127" s="247" t="str">
        <f ca="1">IF(T129&gt;=1,"Done",IF(ISBLANK(L127),"",NETWORKDAYS(TODAY(),L127)))</f>
        <v/>
      </c>
      <c r="N127" s="248"/>
      <c r="O127" s="248"/>
      <c r="P127" s="248"/>
      <c r="Q127" s="207" t="s">
        <v>3</v>
      </c>
      <c r="R127" s="208">
        <f>Projekteinstellungen!$B$21*215</f>
        <v>215</v>
      </c>
      <c r="S127" s="208">
        <f>$R$127-Projekteinstellungen!$B$21*32</f>
        <v>183</v>
      </c>
      <c r="T127" s="319">
        <f>IF(R127=0,0,(R127-S127)/R127)</f>
        <v>0.14883720930232558</v>
      </c>
      <c r="U127" s="318"/>
      <c r="V127" s="320">
        <f>(R127-S127)-(R129-S129)</f>
        <v>32</v>
      </c>
      <c r="W127" s="200">
        <f>IF(R127=0,"",V127/R127)</f>
        <v>0.14883720930232558</v>
      </c>
      <c r="X127" s="17">
        <v>0</v>
      </c>
      <c r="Y127" s="17">
        <v>0</v>
      </c>
      <c r="Z127" s="66" t="str">
        <f ca="1">IF(M127="","tbd",IF(M127="Done","",IF(M127&lt;0,Pos_Hilfstabelle!$B$127,IF(M127-S127&lt;0,Pos_Hilfstabelle!$B$126,Pos_Hilfstabelle!$B$125))))</f>
        <v>tbd</v>
      </c>
    </row>
    <row r="128" spans="3:26" ht="15" customHeight="1" outlineLevel="1" thickBot="1">
      <c r="C128" s="201"/>
      <c r="D128" s="212"/>
      <c r="E128" s="211"/>
      <c r="F128" s="221"/>
      <c r="G128" s="221"/>
      <c r="H128" s="221"/>
      <c r="I128" s="218"/>
      <c r="J128" s="222"/>
      <c r="K128" s="239">
        <f ca="1">IF(OR(J128="",L128=""),0,IF(NETWORKDAYS(J128,TODAY())/NETWORKDAYS(J128,L128)&gt;1,1,NETWORKDAYS(J128,TODAY())/NETWORKDAYS(J128,L128)))</f>
        <v>0</v>
      </c>
      <c r="L128" s="223"/>
      <c r="M128" s="262" t="str">
        <f ca="1">IF(P128&gt;=1,"Done",IF(ISBLANK(L128),"",NETWORKDAYS(TODAY(),L128)))</f>
        <v/>
      </c>
      <c r="N128" s="213"/>
      <c r="O128" s="229">
        <v>0</v>
      </c>
      <c r="P128" s="229">
        <v>0</v>
      </c>
      <c r="Q128" s="226"/>
      <c r="R128" s="227">
        <v>0</v>
      </c>
      <c r="S128" s="227">
        <f>R128/(1-O128)*(1-P128)</f>
        <v>0</v>
      </c>
      <c r="T128" s="66"/>
      <c r="U128" s="66"/>
      <c r="V128" s="71"/>
      <c r="W128" s="95"/>
      <c r="Z128" s="66" t="str">
        <f ca="1">IF(M128="","tbd",IF(M128="Done","",IF(M128&lt;0,Pos_Hilfstabelle!$B$127,IF(M128-S128&lt;0,Pos_Hilfstabelle!$B$126,Pos_Hilfstabelle!$B$125))))</f>
        <v>tbd</v>
      </c>
    </row>
    <row r="129" spans="3:26" ht="18" customHeight="1" outlineLevel="1" thickBot="1">
      <c r="C129" s="201"/>
      <c r="Q129" s="207" t="s">
        <v>136</v>
      </c>
      <c r="R129" s="208">
        <f>SUM(R128:R128)</f>
        <v>0</v>
      </c>
      <c r="S129" s="208">
        <f>IF(R129&lt;&gt;0,SUM(S128:S128),SUM(S128:S128))</f>
        <v>0</v>
      </c>
      <c r="T129" s="206">
        <f>IF(R129=0,0,(R129-S129)/R129)</f>
        <v>0</v>
      </c>
      <c r="Z129" s="17"/>
    </row>
    <row r="130" spans="3:26" ht="15" customHeight="1" outlineLevel="1">
      <c r="C130" s="201"/>
      <c r="R130" s="96"/>
      <c r="S130" s="96"/>
    </row>
    <row r="131" spans="3:26" ht="15" customHeight="1" outlineLevel="1" thickBot="1">
      <c r="C131" s="201"/>
      <c r="R131" s="96"/>
      <c r="S131" s="96"/>
    </row>
    <row r="132" spans="3:26" ht="18" customHeight="1" outlineLevel="1" thickBot="1">
      <c r="C132" s="316"/>
      <c r="D132" s="317" t="s">
        <v>301</v>
      </c>
      <c r="E132" s="241"/>
      <c r="F132" s="242" t="s">
        <v>302</v>
      </c>
      <c r="G132" s="243"/>
      <c r="H132" s="244"/>
      <c r="I132" s="244"/>
      <c r="J132" s="245"/>
      <c r="K132" s="246" t="str">
        <f ca="1">IF(OR(J132="",L132=""),"",IF(NETWORKDAYS(J132,TODAY())/NETWORKDAYS(J132,L132)&gt;1,1,NETWORKDAYS(J132,TODAY())/NETWORKDAYS(J132,L132)))</f>
        <v/>
      </c>
      <c r="L132" s="245"/>
      <c r="M132" s="247" t="str">
        <f ca="1">IF(T134&gt;=1,"Done",IF(ISBLANK(L132),"",NETWORKDAYS(TODAY(),L132)))</f>
        <v/>
      </c>
      <c r="N132" s="248"/>
      <c r="O132" s="248"/>
      <c r="P132" s="248"/>
      <c r="Q132" s="207" t="s">
        <v>3</v>
      </c>
      <c r="R132" s="208">
        <f>Projekteinstellungen!$B$21*148</f>
        <v>148</v>
      </c>
      <c r="S132" s="208">
        <f>$R$132-Projekteinstellungen!$B$21*32.25</f>
        <v>115.75</v>
      </c>
      <c r="T132" s="319">
        <f>IF(R132=0,0,(R132-S132)/R132)</f>
        <v>0.2179054054054054</v>
      </c>
      <c r="U132" s="318"/>
      <c r="V132" s="320">
        <f>(R132-S132)-(R134-S134)</f>
        <v>32.25</v>
      </c>
      <c r="W132" s="200">
        <f>IF(R132=0,"",V132/R132)</f>
        <v>0.2179054054054054</v>
      </c>
      <c r="X132" s="17">
        <v>0</v>
      </c>
      <c r="Y132" s="17">
        <v>0</v>
      </c>
      <c r="Z132" s="66" t="str">
        <f ca="1">IF(M132="","tbd",IF(M132="Done","",IF(M132&lt;0,Pos_Hilfstabelle!$B$127,IF(M132-S132&lt;0,Pos_Hilfstabelle!$B$126,Pos_Hilfstabelle!$B$125))))</f>
        <v>tbd</v>
      </c>
    </row>
    <row r="133" spans="3:26" ht="15" customHeight="1" outlineLevel="1" thickBot="1">
      <c r="C133" s="201"/>
      <c r="D133" s="212"/>
      <c r="E133" s="211"/>
      <c r="F133" s="221"/>
      <c r="G133" s="221"/>
      <c r="H133" s="221"/>
      <c r="I133" s="218"/>
      <c r="J133" s="222"/>
      <c r="K133" s="239">
        <f ca="1">IF(OR(J133="",L133=""),0,IF(NETWORKDAYS(J133,TODAY())/NETWORKDAYS(J133,L133)&gt;1,1,NETWORKDAYS(J133,TODAY())/NETWORKDAYS(J133,L133)))</f>
        <v>0</v>
      </c>
      <c r="L133" s="223"/>
      <c r="M133" s="262" t="str">
        <f ca="1">IF(P133&gt;=1,"Done",IF(ISBLANK(L133),"",NETWORKDAYS(TODAY(),L133)))</f>
        <v/>
      </c>
      <c r="N133" s="213"/>
      <c r="O133" s="229">
        <v>0</v>
      </c>
      <c r="P133" s="229">
        <v>0</v>
      </c>
      <c r="Q133" s="226"/>
      <c r="R133" s="227">
        <v>0</v>
      </c>
      <c r="S133" s="227">
        <f>R133/(1-O133)*(1-P133)</f>
        <v>0</v>
      </c>
      <c r="T133" s="66"/>
      <c r="U133" s="66"/>
      <c r="V133" s="71"/>
      <c r="W133" s="95"/>
      <c r="Z133" s="66" t="str">
        <f ca="1">IF(M133="","tbd",IF(M133="Done","",IF(M133&lt;0,Pos_Hilfstabelle!$B$127,IF(M133-S133&lt;0,Pos_Hilfstabelle!$B$126,Pos_Hilfstabelle!$B$125))))</f>
        <v>tbd</v>
      </c>
    </row>
    <row r="134" spans="3:26" ht="18" customHeight="1" outlineLevel="1" thickBot="1">
      <c r="C134" s="201"/>
      <c r="Q134" s="207" t="s">
        <v>136</v>
      </c>
      <c r="R134" s="208">
        <f>SUM(R133:R133)</f>
        <v>0</v>
      </c>
      <c r="S134" s="208">
        <f>IF(R134&lt;&gt;0,SUM(S133:S133),SUM(S133:S133))</f>
        <v>0</v>
      </c>
      <c r="T134" s="206">
        <f>IF(R134=0,0,(R134-S134)/R134)</f>
        <v>0</v>
      </c>
      <c r="Z134" s="17"/>
    </row>
    <row r="135" spans="3:26" ht="15" customHeight="1" outlineLevel="1">
      <c r="C135" s="201"/>
      <c r="R135" s="96"/>
      <c r="S135" s="96"/>
    </row>
    <row r="136" spans="3:26" ht="15" customHeight="1" outlineLevel="1" thickBot="1">
      <c r="C136" s="201"/>
      <c r="R136" s="96"/>
      <c r="S136" s="96"/>
    </row>
    <row r="137" spans="3:26" ht="18" customHeight="1" outlineLevel="1" thickBot="1">
      <c r="C137" s="316"/>
      <c r="D137" s="317" t="s">
        <v>303</v>
      </c>
      <c r="E137" s="241"/>
      <c r="F137" s="242" t="s">
        <v>304</v>
      </c>
      <c r="G137" s="243"/>
      <c r="H137" s="244"/>
      <c r="I137" s="244"/>
      <c r="J137" s="245"/>
      <c r="K137" s="246" t="str">
        <f ca="1">IF(OR(J137="",L137=""),"",IF(NETWORKDAYS(J137,TODAY())/NETWORKDAYS(J137,L137)&gt;1,1,NETWORKDAYS(J137,TODAY())/NETWORKDAYS(J137,L137)))</f>
        <v/>
      </c>
      <c r="L137" s="245"/>
      <c r="M137" s="247" t="str">
        <f ca="1">IF(T139&gt;=1,"Done",IF(ISBLANK(L137),"",NETWORKDAYS(TODAY(),L137)))</f>
        <v/>
      </c>
      <c r="N137" s="248"/>
      <c r="O137" s="248"/>
      <c r="P137" s="248"/>
      <c r="Q137" s="207" t="s">
        <v>3</v>
      </c>
      <c r="R137" s="208">
        <f>Projekteinstellungen!$B$21*80</f>
        <v>80</v>
      </c>
      <c r="S137" s="208">
        <f>$R$137-Projekteinstellungen!$B$21*1</f>
        <v>79</v>
      </c>
      <c r="T137" s="319">
        <f>IF(R137=0,0,(R137-S137)/R137)</f>
        <v>1.2500000000000001E-2</v>
      </c>
      <c r="U137" s="318"/>
      <c r="V137" s="320">
        <f>(R137-S137)-(R139-S139)</f>
        <v>1</v>
      </c>
      <c r="W137" s="200">
        <f>IF(R137=0,"",V137/R137)</f>
        <v>1.2500000000000001E-2</v>
      </c>
      <c r="X137" s="17">
        <v>0</v>
      </c>
      <c r="Y137" s="17">
        <v>0</v>
      </c>
      <c r="Z137" s="66" t="str">
        <f ca="1">IF(M137="","tbd",IF(M137="Done","",IF(M137&lt;0,Pos_Hilfstabelle!$B$127,IF(M137-S137&lt;0,Pos_Hilfstabelle!$B$126,Pos_Hilfstabelle!$B$125))))</f>
        <v>tbd</v>
      </c>
    </row>
    <row r="138" spans="3:26" ht="15" customHeight="1" outlineLevel="1" thickBot="1">
      <c r="C138" s="201"/>
      <c r="D138" s="212"/>
      <c r="E138" s="211"/>
      <c r="F138" s="221"/>
      <c r="G138" s="221"/>
      <c r="H138" s="221"/>
      <c r="I138" s="218"/>
      <c r="J138" s="222"/>
      <c r="K138" s="239">
        <f ca="1">IF(OR(J138="",L138=""),0,IF(NETWORKDAYS(J138,TODAY())/NETWORKDAYS(J138,L138)&gt;1,1,NETWORKDAYS(J138,TODAY())/NETWORKDAYS(J138,L138)))</f>
        <v>0</v>
      </c>
      <c r="L138" s="223"/>
      <c r="M138" s="262" t="str">
        <f ca="1">IF(P138&gt;=1,"Done",IF(ISBLANK(L138),"",NETWORKDAYS(TODAY(),L138)))</f>
        <v/>
      </c>
      <c r="N138" s="213"/>
      <c r="O138" s="229">
        <v>0</v>
      </c>
      <c r="P138" s="229">
        <v>0</v>
      </c>
      <c r="Q138" s="226"/>
      <c r="R138" s="227">
        <v>0</v>
      </c>
      <c r="S138" s="227">
        <f>R138/(1-O138)*(1-P138)</f>
        <v>0</v>
      </c>
      <c r="T138" s="66"/>
      <c r="U138" s="66"/>
      <c r="V138" s="71"/>
      <c r="W138" s="95"/>
      <c r="Z138" s="66" t="str">
        <f ca="1">IF(M138="","tbd",IF(M138="Done","",IF(M138&lt;0,Pos_Hilfstabelle!$B$127,IF(M138-S138&lt;0,Pos_Hilfstabelle!$B$126,Pos_Hilfstabelle!$B$125))))</f>
        <v>tbd</v>
      </c>
    </row>
    <row r="139" spans="3:26" ht="18" customHeight="1" outlineLevel="1" thickBot="1">
      <c r="C139" s="201"/>
      <c r="Q139" s="207" t="s">
        <v>136</v>
      </c>
      <c r="R139" s="208">
        <f>SUM(R138:R138)</f>
        <v>0</v>
      </c>
      <c r="S139" s="208">
        <f>IF(R139&lt;&gt;0,SUM(S138:S138),SUM(S138:S138))</f>
        <v>0</v>
      </c>
      <c r="T139" s="206">
        <f>IF(R139=0,0,(R139-S139)/R139)</f>
        <v>0</v>
      </c>
      <c r="Z139" s="17"/>
    </row>
    <row r="140" spans="3:26" ht="15" customHeight="1" outlineLevel="1">
      <c r="C140" s="201"/>
      <c r="R140" s="96"/>
      <c r="S140" s="96"/>
    </row>
    <row r="141" spans="3:26" ht="15" customHeight="1" outlineLevel="1" thickBot="1">
      <c r="C141" s="201"/>
      <c r="R141" s="96"/>
      <c r="S141" s="96"/>
    </row>
    <row r="142" spans="3:26" ht="18" customHeight="1" outlineLevel="1" thickBot="1">
      <c r="C142" s="316"/>
      <c r="D142" s="317" t="s">
        <v>305</v>
      </c>
      <c r="E142" s="241"/>
      <c r="F142" s="242" t="s">
        <v>306</v>
      </c>
      <c r="G142" s="243"/>
      <c r="H142" s="244"/>
      <c r="I142" s="244"/>
      <c r="J142" s="245"/>
      <c r="K142" s="246" t="str">
        <f ca="1">IF(OR(J142="",L142=""),"",IF(NETWORKDAYS(J142,TODAY())/NETWORKDAYS(J142,L142)&gt;1,1,NETWORKDAYS(J142,TODAY())/NETWORKDAYS(J142,L142)))</f>
        <v/>
      </c>
      <c r="L142" s="245"/>
      <c r="M142" s="247" t="str">
        <f ca="1">IF(T144&gt;=1,"Done",IF(ISBLANK(L142),"",NETWORKDAYS(TODAY(),L142)))</f>
        <v/>
      </c>
      <c r="N142" s="248"/>
      <c r="O142" s="248"/>
      <c r="P142" s="248"/>
      <c r="Q142" s="207" t="s">
        <v>3</v>
      </c>
      <c r="R142" s="208">
        <f>Projekteinstellungen!$B$21*290</f>
        <v>290</v>
      </c>
      <c r="S142" s="208">
        <f>$R$142-Projekteinstellungen!$B$21*167.25</f>
        <v>122.75</v>
      </c>
      <c r="T142" s="319">
        <f>IF(R142=0,0,(R142-S142)/R142)</f>
        <v>0.5767241379310345</v>
      </c>
      <c r="U142" s="318"/>
      <c r="V142" s="320">
        <f>(R142-S142)-(R144-S144)</f>
        <v>167.25</v>
      </c>
      <c r="W142" s="200">
        <f>IF(R142=0,"",V142/R142)</f>
        <v>0.5767241379310345</v>
      </c>
      <c r="X142" s="17">
        <v>0</v>
      </c>
      <c r="Y142" s="17">
        <v>0</v>
      </c>
      <c r="Z142" s="66" t="str">
        <f ca="1">IF(M142="","tbd",IF(M142="Done","",IF(M142&lt;0,Pos_Hilfstabelle!$B$127,IF(M142-S142&lt;0,Pos_Hilfstabelle!$B$126,Pos_Hilfstabelle!$B$125))))</f>
        <v>tbd</v>
      </c>
    </row>
    <row r="143" spans="3:26" ht="15" customHeight="1" outlineLevel="1" thickBot="1">
      <c r="C143" s="201"/>
      <c r="D143" s="212"/>
      <c r="E143" s="211"/>
      <c r="F143" s="221"/>
      <c r="G143" s="221"/>
      <c r="H143" s="221"/>
      <c r="I143" s="218"/>
      <c r="J143" s="222"/>
      <c r="K143" s="239">
        <f ca="1">IF(OR(J143="",L143=""),0,IF(NETWORKDAYS(J143,TODAY())/NETWORKDAYS(J143,L143)&gt;1,1,NETWORKDAYS(J143,TODAY())/NETWORKDAYS(J143,L143)))</f>
        <v>0</v>
      </c>
      <c r="L143" s="223"/>
      <c r="M143" s="262" t="str">
        <f ca="1">IF(P143&gt;=1,"Done",IF(ISBLANK(L143),"",NETWORKDAYS(TODAY(),L143)))</f>
        <v/>
      </c>
      <c r="N143" s="213"/>
      <c r="O143" s="229">
        <v>0</v>
      </c>
      <c r="P143" s="229">
        <v>0</v>
      </c>
      <c r="Q143" s="226"/>
      <c r="R143" s="227">
        <v>0</v>
      </c>
      <c r="S143" s="227">
        <f>R143/(1-O143)*(1-P143)</f>
        <v>0</v>
      </c>
      <c r="T143" s="66"/>
      <c r="U143" s="66"/>
      <c r="V143" s="71"/>
      <c r="W143" s="95"/>
      <c r="Z143" s="66" t="str">
        <f ca="1">IF(M143="","tbd",IF(M143="Done","",IF(M143&lt;0,Pos_Hilfstabelle!$B$127,IF(M143-S143&lt;0,Pos_Hilfstabelle!$B$126,Pos_Hilfstabelle!$B$125))))</f>
        <v>tbd</v>
      </c>
    </row>
    <row r="144" spans="3:26" ht="18" customHeight="1" outlineLevel="1" thickBot="1">
      <c r="C144" s="202"/>
      <c r="Q144" s="207" t="s">
        <v>136</v>
      </c>
      <c r="R144" s="208">
        <f>SUM(R143:R143)</f>
        <v>0</v>
      </c>
      <c r="S144" s="208">
        <f>IF(R144&lt;&gt;0,SUM(S143:S143),SUM(S143:S143))</f>
        <v>0</v>
      </c>
      <c r="T144" s="206">
        <f>IF(R144=0,0,(R144-S144)/R144)</f>
        <v>0</v>
      </c>
      <c r="Z144" s="17"/>
    </row>
    <row r="145" spans="3:26" ht="15" customHeight="1">
      <c r="R145" s="96"/>
      <c r="S145" s="96"/>
    </row>
    <row r="146" spans="3:26" ht="15" customHeight="1" thickBot="1"/>
    <row r="147" spans="3:26" ht="18" customHeight="1" thickBot="1">
      <c r="C147" s="192"/>
      <c r="D147" s="249" t="s">
        <v>113</v>
      </c>
      <c r="E147" s="249"/>
      <c r="F147" s="250" t="s">
        <v>321</v>
      </c>
      <c r="G147" s="251"/>
      <c r="H147" s="244"/>
      <c r="I147" s="244"/>
      <c r="J147" s="245"/>
      <c r="K147" s="246" t="str">
        <f ca="1">IF(OR(J147="",L147=""),"",IF(NETWORKDAYS(J147,TODAY())/NETWORKDAYS(J147,L147)&gt;1,1,NETWORKDAYS(J147,TODAY())/NETWORKDAYS(J147,L147)))</f>
        <v/>
      </c>
      <c r="L147" s="245"/>
      <c r="M147" s="247" t="str">
        <f ca="1">IF(T153&gt;=1,"Done",IF(ISBLANK(L147),"",NETWORKDAYS(TODAY(),L147)))</f>
        <v/>
      </c>
      <c r="N147" s="253"/>
      <c r="O147" s="253"/>
      <c r="P147" s="253"/>
      <c r="Q147" s="209" t="s">
        <v>3</v>
      </c>
      <c r="R147" s="208">
        <f>SUM($R$151,$R$156,$R$161,$R$166,$R$171)</f>
        <v>4493</v>
      </c>
      <c r="S147" s="208">
        <f>SUM($S$151,$S$156,$S$161,$S$166,$S$171)</f>
        <v>1839.08</v>
      </c>
      <c r="T147" s="206">
        <f>IF(R147=0,0,(R147-S147)/R147)</f>
        <v>0.59067883374137553</v>
      </c>
      <c r="U147" s="205"/>
      <c r="V147" s="199">
        <f>($R$147-$S$147)-($R$148-$S$148)</f>
        <v>2653.92</v>
      </c>
      <c r="W147" s="200">
        <f>IF($R$147=0,"",$V$147/$R$147)</f>
        <v>0.59067883374137553</v>
      </c>
      <c r="X147" s="17">
        <f>Projekteinstellungen!$B$21*4493</f>
        <v>4493</v>
      </c>
      <c r="Y147" s="17">
        <f>Projekteinstellungen!$B$21*0</f>
        <v>0</v>
      </c>
      <c r="Z147" s="66" t="str">
        <f ca="1">IF(M147="","tbd",IF(M147="Done","",IF(M147&lt;0,Pos_Hilfstabelle!$B$127,IF(M147-S147&lt;0,Pos_Hilfstabelle!$B$126,Pos_Hilfstabelle!$B$125))))</f>
        <v>tbd</v>
      </c>
    </row>
    <row r="148" spans="3:26" ht="18" customHeight="1" thickBot="1">
      <c r="C148" s="203"/>
      <c r="Q148" s="195" t="s">
        <v>136</v>
      </c>
      <c r="R148" s="208">
        <f>SUM($R$153,$R$158,$R$163,$R$168,$R$173)</f>
        <v>0</v>
      </c>
      <c r="S148" s="196">
        <f>SUM($S$153,$S$158,$S$163,$S$168,$S$173)</f>
        <v>0</v>
      </c>
      <c r="T148" s="197">
        <f>IF(R148=0,0,(R148-S148)/R148)</f>
        <v>0</v>
      </c>
      <c r="V148" s="71"/>
      <c r="W148" s="70"/>
      <c r="Z148" s="17"/>
    </row>
    <row r="149" spans="3:26" ht="15" customHeight="1" outlineLevel="1">
      <c r="C149" s="201"/>
      <c r="Q149" s="235"/>
      <c r="R149" s="96"/>
      <c r="S149" s="96"/>
      <c r="T149" s="234"/>
      <c r="V149" s="71"/>
      <c r="W149" s="70"/>
      <c r="Z149" s="17"/>
    </row>
    <row r="150" spans="3:26" ht="15" customHeight="1" outlineLevel="1" thickBot="1">
      <c r="C150" s="201"/>
      <c r="Z150" s="17"/>
    </row>
    <row r="151" spans="3:26" ht="18" customHeight="1" outlineLevel="1" thickBot="1">
      <c r="C151" s="316"/>
      <c r="D151" s="317" t="s">
        <v>322</v>
      </c>
      <c r="E151" s="241"/>
      <c r="F151" s="242" t="s">
        <v>323</v>
      </c>
      <c r="G151" s="243"/>
      <c r="H151" s="244"/>
      <c r="I151" s="244"/>
      <c r="J151" s="245"/>
      <c r="K151" s="246" t="str">
        <f ca="1">IF(OR(J151="",L151=""),"",IF(NETWORKDAYS(J151,TODAY())/NETWORKDAYS(J151,L151)&gt;1,1,NETWORKDAYS(J151,TODAY())/NETWORKDAYS(J151,L151)))</f>
        <v/>
      </c>
      <c r="L151" s="245"/>
      <c r="M151" s="247" t="str">
        <f ca="1">IF(T153&gt;=1,"Done",IF(ISBLANK(L151),"",NETWORKDAYS(TODAY(),L151)))</f>
        <v/>
      </c>
      <c r="N151" s="248"/>
      <c r="O151" s="248"/>
      <c r="P151" s="248"/>
      <c r="Q151" s="207" t="s">
        <v>3</v>
      </c>
      <c r="R151" s="208">
        <f>Projekteinstellungen!$B$21*358</f>
        <v>358</v>
      </c>
      <c r="S151" s="208">
        <f>$R$151-Projekteinstellungen!$B$21*411.17</f>
        <v>-53.170000000000016</v>
      </c>
      <c r="T151" s="319">
        <f>IF(R151=0,0,(R151-S151)/R151)</f>
        <v>1.1485195530726258</v>
      </c>
      <c r="U151" s="318"/>
      <c r="V151" s="320">
        <f>($R$151-$S$151)-($R$153-$S$153)</f>
        <v>411.17</v>
      </c>
      <c r="W151" s="200">
        <f>IF($R$151=0,"",$V$151/$R$151)</f>
        <v>1.1485195530726258</v>
      </c>
      <c r="X151" s="17">
        <v>0</v>
      </c>
      <c r="Y151" s="17">
        <v>0</v>
      </c>
      <c r="Z151" s="66" t="str">
        <f ca="1">IF(M151="","tbd",IF(M151="Done","",IF(M151&lt;0,Pos_Hilfstabelle!$B$127,IF(M151-S151&lt;0,Pos_Hilfstabelle!$B$126,Pos_Hilfstabelle!$B$125))))</f>
        <v>tbd</v>
      </c>
    </row>
    <row r="152" spans="3:26" ht="15" customHeight="1" outlineLevel="1" thickBot="1">
      <c r="C152" s="201"/>
      <c r="D152" s="212"/>
      <c r="E152" s="211"/>
      <c r="F152" s="221"/>
      <c r="G152" s="221"/>
      <c r="H152" s="221"/>
      <c r="I152" s="218"/>
      <c r="J152" s="222"/>
      <c r="K152" s="239">
        <f ca="1">IF(OR(J152="",L152=""),0,IF(NETWORKDAYS(J152,TODAY())/NETWORKDAYS(J152,L152)&gt;1,1,NETWORKDAYS(J152,TODAY())/NETWORKDAYS(J152,L152)))</f>
        <v>0</v>
      </c>
      <c r="L152" s="223"/>
      <c r="M152" s="262" t="str">
        <f ca="1">IF(P152&gt;=1,"Done",IF(ISBLANK(L152),"",NETWORKDAYS(TODAY(),L152)))</f>
        <v/>
      </c>
      <c r="N152" s="213"/>
      <c r="O152" s="229">
        <v>0</v>
      </c>
      <c r="P152" s="229">
        <v>0</v>
      </c>
      <c r="Q152" s="224"/>
      <c r="R152" s="225">
        <v>0</v>
      </c>
      <c r="S152" s="225">
        <f>R152/(1-O152)*(1-P152)</f>
        <v>0</v>
      </c>
      <c r="T152" s="66"/>
      <c r="U152" s="66"/>
      <c r="V152" s="71"/>
      <c r="W152" s="95"/>
      <c r="Z152" s="66" t="str">
        <f ca="1">IF(M152="","tbd",IF(M152="Done","",IF(M152&lt;0,Pos_Hilfstabelle!$B$127,IF(M152-S152&lt;0,Pos_Hilfstabelle!$B$126,Pos_Hilfstabelle!$B$125))))</f>
        <v>tbd</v>
      </c>
    </row>
    <row r="153" spans="3:26" ht="18" customHeight="1" outlineLevel="1" thickBot="1">
      <c r="C153" s="201"/>
      <c r="O153" s="145"/>
      <c r="Q153" s="207" t="s">
        <v>136</v>
      </c>
      <c r="R153" s="208">
        <f>SUM($R$152:$R$152)</f>
        <v>0</v>
      </c>
      <c r="S153" s="208">
        <f>SUM($S$152:$S$152)</f>
        <v>0</v>
      </c>
      <c r="T153" s="206">
        <f>IF(R153=0,0,(R153-S153)/R153)</f>
        <v>0</v>
      </c>
    </row>
    <row r="154" spans="3:26" ht="15" customHeight="1" outlineLevel="1">
      <c r="C154" s="201"/>
      <c r="R154" s="96"/>
      <c r="S154" s="96"/>
    </row>
    <row r="155" spans="3:26" ht="15" customHeight="1" outlineLevel="1" thickBot="1">
      <c r="C155" s="201"/>
      <c r="R155" s="96"/>
      <c r="S155" s="96"/>
    </row>
    <row r="156" spans="3:26" ht="18" customHeight="1" outlineLevel="1" thickBot="1">
      <c r="C156" s="316"/>
      <c r="D156" s="317" t="s">
        <v>324</v>
      </c>
      <c r="E156" s="241"/>
      <c r="F156" s="242" t="s">
        <v>325</v>
      </c>
      <c r="G156" s="243"/>
      <c r="H156" s="244"/>
      <c r="I156" s="244"/>
      <c r="J156" s="245"/>
      <c r="K156" s="246" t="str">
        <f ca="1">IF(OR(J156="",L156=""),"",IF(NETWORKDAYS(J156,TODAY())/NETWORKDAYS(J156,L156)&gt;1,1,NETWORKDAYS(J156,TODAY())/NETWORKDAYS(J156,L156)))</f>
        <v/>
      </c>
      <c r="L156" s="245"/>
      <c r="M156" s="247" t="str">
        <f ca="1">IF(T158&gt;=1,"Done",IF(ISBLANK(L156),"",NETWORKDAYS(TODAY(),L156)))</f>
        <v/>
      </c>
      <c r="N156" s="248"/>
      <c r="O156" s="248"/>
      <c r="P156" s="248"/>
      <c r="Q156" s="207" t="s">
        <v>3</v>
      </c>
      <c r="R156" s="208">
        <f>Projekteinstellungen!$B$21*3240</f>
        <v>3240</v>
      </c>
      <c r="S156" s="208">
        <f>$R$156-Projekteinstellungen!$B$21*1745.25</f>
        <v>1494.75</v>
      </c>
      <c r="T156" s="319">
        <f>IF(R156=0,0,(R156-S156)/R156)</f>
        <v>0.53865740740740742</v>
      </c>
      <c r="U156" s="318"/>
      <c r="V156" s="320">
        <f>(R156-S156)-(R158-S158)</f>
        <v>1745.25</v>
      </c>
      <c r="W156" s="200">
        <f>IF(R156=0,"",V156/R156)</f>
        <v>0.53865740740740742</v>
      </c>
      <c r="X156" s="17">
        <v>0</v>
      </c>
      <c r="Y156" s="17">
        <v>0</v>
      </c>
      <c r="Z156" s="66" t="str">
        <f ca="1">IF(M156="","tbd",IF(M156="Done","",IF(M156&lt;0,Pos_Hilfstabelle!$B$127,IF(M156-S156&lt;0,Pos_Hilfstabelle!$B$126,Pos_Hilfstabelle!$B$125))))</f>
        <v>tbd</v>
      </c>
    </row>
    <row r="157" spans="3:26" ht="15" customHeight="1" outlineLevel="1" thickBot="1">
      <c r="C157" s="201"/>
      <c r="D157" s="212"/>
      <c r="E157" s="211"/>
      <c r="F157" s="221"/>
      <c r="G157" s="221"/>
      <c r="H157" s="221"/>
      <c r="I157" s="218"/>
      <c r="J157" s="222"/>
      <c r="K157" s="239">
        <f ca="1">IF(OR(J157="",L157=""),0,IF(NETWORKDAYS(J157,TODAY())/NETWORKDAYS(J157,L157)&gt;1,1,NETWORKDAYS(J157,TODAY())/NETWORKDAYS(J157,L157)))</f>
        <v>0</v>
      </c>
      <c r="L157" s="223"/>
      <c r="M157" s="262" t="str">
        <f ca="1">IF(P157&gt;=1,"Done",IF(ISBLANK(L157),"",NETWORKDAYS(TODAY(),L157)))</f>
        <v/>
      </c>
      <c r="N157" s="213"/>
      <c r="O157" s="229">
        <v>0</v>
      </c>
      <c r="P157" s="229">
        <v>0</v>
      </c>
      <c r="Q157" s="226"/>
      <c r="R157" s="227">
        <v>0</v>
      </c>
      <c r="S157" s="227">
        <f>R157/(1-O157)*(1-P157)</f>
        <v>0</v>
      </c>
      <c r="T157" s="66"/>
      <c r="U157" s="66"/>
      <c r="V157" s="71"/>
      <c r="W157" s="95"/>
      <c r="Z157" s="66" t="str">
        <f ca="1">IF(M157="","tbd",IF(M157="Done","",IF(M157&lt;0,Pos_Hilfstabelle!$B$127,IF(M157-S157&lt;0,Pos_Hilfstabelle!$B$126,Pos_Hilfstabelle!$B$125))))</f>
        <v>tbd</v>
      </c>
    </row>
    <row r="158" spans="3:26" ht="18" customHeight="1" outlineLevel="1" thickBot="1">
      <c r="C158" s="201"/>
      <c r="Q158" s="207" t="s">
        <v>136</v>
      </c>
      <c r="R158" s="208">
        <f>SUM(R157:R157)</f>
        <v>0</v>
      </c>
      <c r="S158" s="208">
        <f>IF(R158&lt;&gt;0,SUM(S157:S157),SUM(S157:S157))</f>
        <v>0</v>
      </c>
      <c r="T158" s="206">
        <f>IF(R158=0,0,(R158-S158)/R158)</f>
        <v>0</v>
      </c>
      <c r="Z158" s="17"/>
    </row>
    <row r="159" spans="3:26" ht="15" customHeight="1" outlineLevel="1">
      <c r="C159" s="201"/>
      <c r="R159" s="96"/>
      <c r="S159" s="96"/>
    </row>
    <row r="160" spans="3:26" ht="15" customHeight="1" outlineLevel="1" thickBot="1">
      <c r="C160" s="201"/>
      <c r="R160" s="96"/>
      <c r="S160" s="96"/>
    </row>
    <row r="161" spans="3:26" ht="18" customHeight="1" outlineLevel="1" thickBot="1">
      <c r="C161" s="316"/>
      <c r="D161" s="317" t="s">
        <v>326</v>
      </c>
      <c r="E161" s="241"/>
      <c r="F161" s="242" t="s">
        <v>327</v>
      </c>
      <c r="G161" s="243"/>
      <c r="H161" s="244"/>
      <c r="I161" s="244"/>
      <c r="J161" s="245"/>
      <c r="K161" s="246" t="str">
        <f ca="1">IF(OR(J161="",L161=""),"",IF(NETWORKDAYS(J161,TODAY())/NETWORKDAYS(J161,L161)&gt;1,1,NETWORKDAYS(J161,TODAY())/NETWORKDAYS(J161,L161)))</f>
        <v/>
      </c>
      <c r="L161" s="245"/>
      <c r="M161" s="247" t="str">
        <f ca="1">IF(T163&gt;=1,"Done",IF(ISBLANK(L161),"",NETWORKDAYS(TODAY(),L161)))</f>
        <v/>
      </c>
      <c r="N161" s="248"/>
      <c r="O161" s="248"/>
      <c r="P161" s="248"/>
      <c r="Q161" s="207" t="s">
        <v>3</v>
      </c>
      <c r="R161" s="208">
        <f>Projekteinstellungen!$B$21*325</f>
        <v>325</v>
      </c>
      <c r="S161" s="208">
        <f>$R$161-Projekteinstellungen!$B$21*106</f>
        <v>219</v>
      </c>
      <c r="T161" s="319">
        <f>IF(R161=0,0,(R161-S161)/R161)</f>
        <v>0.32615384615384613</v>
      </c>
      <c r="U161" s="318"/>
      <c r="V161" s="320">
        <f>(R161-S161)-(R163-S163)</f>
        <v>106</v>
      </c>
      <c r="W161" s="200">
        <f>IF(R161=0,"",V161/R161)</f>
        <v>0.32615384615384613</v>
      </c>
      <c r="X161" s="17">
        <v>0</v>
      </c>
      <c r="Y161" s="17">
        <v>0</v>
      </c>
      <c r="Z161" s="66" t="str">
        <f ca="1">IF(M161="","tbd",IF(M161="Done","",IF(M161&lt;0,Pos_Hilfstabelle!$B$127,IF(M161-S161&lt;0,Pos_Hilfstabelle!$B$126,Pos_Hilfstabelle!$B$125))))</f>
        <v>tbd</v>
      </c>
    </row>
    <row r="162" spans="3:26" ht="15" customHeight="1" outlineLevel="1" thickBot="1">
      <c r="C162" s="201"/>
      <c r="D162" s="212"/>
      <c r="E162" s="211"/>
      <c r="F162" s="221"/>
      <c r="G162" s="221"/>
      <c r="H162" s="221"/>
      <c r="I162" s="218"/>
      <c r="J162" s="222"/>
      <c r="K162" s="239">
        <f ca="1">IF(OR(J162="",L162=""),0,IF(NETWORKDAYS(J162,TODAY())/NETWORKDAYS(J162,L162)&gt;1,1,NETWORKDAYS(J162,TODAY())/NETWORKDAYS(J162,L162)))</f>
        <v>0</v>
      </c>
      <c r="L162" s="223"/>
      <c r="M162" s="262" t="str">
        <f ca="1">IF(P162&gt;=1,"Done",IF(ISBLANK(L162),"",NETWORKDAYS(TODAY(),L162)))</f>
        <v/>
      </c>
      <c r="N162" s="213"/>
      <c r="O162" s="229">
        <v>0</v>
      </c>
      <c r="P162" s="229">
        <v>0</v>
      </c>
      <c r="Q162" s="226"/>
      <c r="R162" s="227">
        <v>0</v>
      </c>
      <c r="S162" s="227">
        <f>R162/(1-O162)*(1-P162)</f>
        <v>0</v>
      </c>
      <c r="T162" s="66"/>
      <c r="U162" s="66"/>
      <c r="V162" s="71"/>
      <c r="W162" s="95"/>
      <c r="Z162" s="66" t="str">
        <f ca="1">IF(M162="","tbd",IF(M162="Done","",IF(M162&lt;0,Pos_Hilfstabelle!$B$127,IF(M162-S162&lt;0,Pos_Hilfstabelle!$B$126,Pos_Hilfstabelle!$B$125))))</f>
        <v>tbd</v>
      </c>
    </row>
    <row r="163" spans="3:26" ht="18" customHeight="1" outlineLevel="1" thickBot="1">
      <c r="C163" s="201"/>
      <c r="Q163" s="207" t="s">
        <v>136</v>
      </c>
      <c r="R163" s="208">
        <f>SUM(R162:R162)</f>
        <v>0</v>
      </c>
      <c r="S163" s="208">
        <f>IF(R163&lt;&gt;0,SUM(S162:S162),SUM(S162:S162))</f>
        <v>0</v>
      </c>
      <c r="T163" s="206">
        <f>IF(R163=0,0,(R163-S163)/R163)</f>
        <v>0</v>
      </c>
      <c r="Z163" s="17"/>
    </row>
    <row r="164" spans="3:26" ht="15" customHeight="1" outlineLevel="1">
      <c r="C164" s="201"/>
      <c r="R164" s="96"/>
      <c r="S164" s="96"/>
    </row>
    <row r="165" spans="3:26" ht="15" customHeight="1" outlineLevel="1" thickBot="1">
      <c r="C165" s="201"/>
      <c r="R165" s="96"/>
      <c r="S165" s="96"/>
    </row>
    <row r="166" spans="3:26" ht="18" customHeight="1" outlineLevel="1" thickBot="1">
      <c r="C166" s="316"/>
      <c r="D166" s="317" t="s">
        <v>328</v>
      </c>
      <c r="E166" s="241"/>
      <c r="F166" s="242" t="s">
        <v>329</v>
      </c>
      <c r="G166" s="243"/>
      <c r="H166" s="244"/>
      <c r="I166" s="244"/>
      <c r="J166" s="245"/>
      <c r="K166" s="246" t="str">
        <f ca="1">IF(OR(J166="",L166=""),"",IF(NETWORKDAYS(J166,TODAY())/NETWORKDAYS(J166,L166)&gt;1,1,NETWORKDAYS(J166,TODAY())/NETWORKDAYS(J166,L166)))</f>
        <v/>
      </c>
      <c r="L166" s="245"/>
      <c r="M166" s="247" t="str">
        <f ca="1">IF(T168&gt;=1,"Done",IF(ISBLANK(L166),"",NETWORKDAYS(TODAY(),L166)))</f>
        <v/>
      </c>
      <c r="N166" s="248"/>
      <c r="O166" s="248"/>
      <c r="P166" s="248"/>
      <c r="Q166" s="207" t="s">
        <v>3</v>
      </c>
      <c r="R166" s="208">
        <f>Projekteinstellungen!$B$21*40</f>
        <v>40</v>
      </c>
      <c r="S166" s="208">
        <f>$R$166-Projekteinstellungen!$B$21*4</f>
        <v>36</v>
      </c>
      <c r="T166" s="319">
        <f>IF(R166=0,0,(R166-S166)/R166)</f>
        <v>0.1</v>
      </c>
      <c r="U166" s="318"/>
      <c r="V166" s="320">
        <f>(R166-S166)-(R168-S168)</f>
        <v>4</v>
      </c>
      <c r="W166" s="200">
        <f>IF(R166=0,"",V166/R166)</f>
        <v>0.1</v>
      </c>
      <c r="X166" s="17">
        <v>0</v>
      </c>
      <c r="Y166" s="17">
        <v>0</v>
      </c>
      <c r="Z166" s="66" t="str">
        <f ca="1">IF(M166="","tbd",IF(M166="Done","",IF(M166&lt;0,Pos_Hilfstabelle!$B$127,IF(M166-S166&lt;0,Pos_Hilfstabelle!$B$126,Pos_Hilfstabelle!$B$125))))</f>
        <v>tbd</v>
      </c>
    </row>
    <row r="167" spans="3:26" ht="15" customHeight="1" outlineLevel="1" thickBot="1">
      <c r="C167" s="201"/>
      <c r="D167" s="212"/>
      <c r="E167" s="211"/>
      <c r="F167" s="221"/>
      <c r="G167" s="221"/>
      <c r="H167" s="221"/>
      <c r="I167" s="218"/>
      <c r="J167" s="222"/>
      <c r="K167" s="239">
        <f ca="1">IF(OR(J167="",L167=""),0,IF(NETWORKDAYS(J167,TODAY())/NETWORKDAYS(J167,L167)&gt;1,1,NETWORKDAYS(J167,TODAY())/NETWORKDAYS(J167,L167)))</f>
        <v>0</v>
      </c>
      <c r="L167" s="223"/>
      <c r="M167" s="262" t="str">
        <f ca="1">IF(P167&gt;=1,"Done",IF(ISBLANK(L167),"",NETWORKDAYS(TODAY(),L167)))</f>
        <v/>
      </c>
      <c r="N167" s="213"/>
      <c r="O167" s="229">
        <v>0</v>
      </c>
      <c r="P167" s="229">
        <v>0</v>
      </c>
      <c r="Q167" s="226"/>
      <c r="R167" s="227">
        <v>0</v>
      </c>
      <c r="S167" s="227">
        <f>R167/(1-O167)*(1-P167)</f>
        <v>0</v>
      </c>
      <c r="T167" s="66"/>
      <c r="U167" s="66"/>
      <c r="V167" s="71"/>
      <c r="W167" s="95"/>
      <c r="Z167" s="66" t="str">
        <f ca="1">IF(M167="","tbd",IF(M167="Done","",IF(M167&lt;0,Pos_Hilfstabelle!$B$127,IF(M167-S167&lt;0,Pos_Hilfstabelle!$B$126,Pos_Hilfstabelle!$B$125))))</f>
        <v>tbd</v>
      </c>
    </row>
    <row r="168" spans="3:26" ht="18" customHeight="1" outlineLevel="1" thickBot="1">
      <c r="C168" s="201"/>
      <c r="Q168" s="207" t="s">
        <v>136</v>
      </c>
      <c r="R168" s="208">
        <f>SUM(R167:R167)</f>
        <v>0</v>
      </c>
      <c r="S168" s="208">
        <f>IF(R168&lt;&gt;0,SUM(S167:S167),SUM(S167:S167))</f>
        <v>0</v>
      </c>
      <c r="T168" s="206">
        <f>IF(R168=0,0,(R168-S168)/R168)</f>
        <v>0</v>
      </c>
      <c r="Z168" s="17"/>
    </row>
    <row r="169" spans="3:26" ht="15" customHeight="1" outlineLevel="1">
      <c r="C169" s="201"/>
      <c r="R169" s="96"/>
      <c r="S169" s="96"/>
    </row>
    <row r="170" spans="3:26" ht="15" customHeight="1" outlineLevel="1" thickBot="1">
      <c r="C170" s="201"/>
      <c r="R170" s="96"/>
      <c r="S170" s="96"/>
    </row>
    <row r="171" spans="3:26" ht="18" customHeight="1" outlineLevel="1" thickBot="1">
      <c r="C171" s="316"/>
      <c r="D171" s="317" t="s">
        <v>330</v>
      </c>
      <c r="E171" s="241"/>
      <c r="F171" s="242" t="s">
        <v>331</v>
      </c>
      <c r="G171" s="243"/>
      <c r="H171" s="244"/>
      <c r="I171" s="244"/>
      <c r="J171" s="245"/>
      <c r="K171" s="246" t="str">
        <f ca="1">IF(OR(J171="",L171=""),"",IF(NETWORKDAYS(J171,TODAY())/NETWORKDAYS(J171,L171)&gt;1,1,NETWORKDAYS(J171,TODAY())/NETWORKDAYS(J171,L171)))</f>
        <v/>
      </c>
      <c r="L171" s="245"/>
      <c r="M171" s="247" t="str">
        <f ca="1">IF(T173&gt;=1,"Done",IF(ISBLANK(L171),"",NETWORKDAYS(TODAY(),L171)))</f>
        <v/>
      </c>
      <c r="N171" s="248"/>
      <c r="O171" s="248"/>
      <c r="P171" s="248"/>
      <c r="Q171" s="207" t="s">
        <v>3</v>
      </c>
      <c r="R171" s="208">
        <f>Projekteinstellungen!$B$21*530</f>
        <v>530</v>
      </c>
      <c r="S171" s="208">
        <f>$R$171-Projekteinstellungen!$B$21*387.5</f>
        <v>142.5</v>
      </c>
      <c r="T171" s="319">
        <f>IF(R171=0,0,(R171-S171)/R171)</f>
        <v>0.73113207547169812</v>
      </c>
      <c r="U171" s="318"/>
      <c r="V171" s="320">
        <f>(R171-S171)-(R173-S173)</f>
        <v>387.5</v>
      </c>
      <c r="W171" s="200">
        <f>IF(R171=0,"",V171/R171)</f>
        <v>0.73113207547169812</v>
      </c>
      <c r="X171" s="17">
        <v>0</v>
      </c>
      <c r="Y171" s="17">
        <v>0</v>
      </c>
      <c r="Z171" s="66" t="str">
        <f ca="1">IF(M171="","tbd",IF(M171="Done","",IF(M171&lt;0,Pos_Hilfstabelle!$B$127,IF(M171-S171&lt;0,Pos_Hilfstabelle!$B$126,Pos_Hilfstabelle!$B$125))))</f>
        <v>tbd</v>
      </c>
    </row>
    <row r="172" spans="3:26" ht="15" customHeight="1" outlineLevel="1" thickBot="1">
      <c r="C172" s="201"/>
      <c r="D172" s="212"/>
      <c r="E172" s="211"/>
      <c r="F172" s="221"/>
      <c r="G172" s="221"/>
      <c r="H172" s="221"/>
      <c r="I172" s="218"/>
      <c r="J172" s="222"/>
      <c r="K172" s="239">
        <f ca="1">IF(OR(J172="",L172=""),0,IF(NETWORKDAYS(J172,TODAY())/NETWORKDAYS(J172,L172)&gt;1,1,NETWORKDAYS(J172,TODAY())/NETWORKDAYS(J172,L172)))</f>
        <v>0</v>
      </c>
      <c r="L172" s="223"/>
      <c r="M172" s="262" t="str">
        <f ca="1">IF(P172&gt;=1,"Done",IF(ISBLANK(L172),"",NETWORKDAYS(TODAY(),L172)))</f>
        <v/>
      </c>
      <c r="N172" s="213"/>
      <c r="O172" s="229">
        <v>0</v>
      </c>
      <c r="P172" s="229">
        <v>0</v>
      </c>
      <c r="Q172" s="226"/>
      <c r="R172" s="227">
        <v>0</v>
      </c>
      <c r="S172" s="227">
        <f>R172/(1-O172)*(1-P172)</f>
        <v>0</v>
      </c>
      <c r="T172" s="66"/>
      <c r="U172" s="66"/>
      <c r="V172" s="71"/>
      <c r="W172" s="95"/>
      <c r="Z172" s="66" t="str">
        <f ca="1">IF(M172="","tbd",IF(M172="Done","",IF(M172&lt;0,Pos_Hilfstabelle!$B$127,IF(M172-S172&lt;0,Pos_Hilfstabelle!$B$126,Pos_Hilfstabelle!$B$125))))</f>
        <v>tbd</v>
      </c>
    </row>
    <row r="173" spans="3:26" ht="18" customHeight="1" outlineLevel="1" thickBot="1">
      <c r="C173" s="202"/>
      <c r="Q173" s="207" t="s">
        <v>136</v>
      </c>
      <c r="R173" s="208">
        <f>SUM(R172:R172)</f>
        <v>0</v>
      </c>
      <c r="S173" s="208">
        <f>IF(R173&lt;&gt;0,SUM(S172:S172),SUM(S172:S172))</f>
        <v>0</v>
      </c>
      <c r="T173" s="206">
        <f>IF(R173=0,0,(R173-S173)/R173)</f>
        <v>0</v>
      </c>
      <c r="Z173" s="17"/>
    </row>
    <row r="174" spans="3:26" ht="15" customHeight="1">
      <c r="R174" s="96"/>
      <c r="S174" s="96"/>
      <c r="X174" s="17" t="s">
        <v>2</v>
      </c>
    </row>
    <row r="175" spans="3:26" ht="15" customHeight="1">
      <c r="R175" s="96"/>
      <c r="S175" s="96"/>
    </row>
    <row r="176" spans="3:26" ht="15" customHeight="1">
      <c r="R176" s="96"/>
      <c r="S176" s="96"/>
    </row>
    <row r="177" spans="7:19" ht="15" customHeight="1">
      <c r="R177" s="96"/>
      <c r="S177" s="96"/>
    </row>
    <row r="178" spans="7:19" ht="15" customHeight="1">
      <c r="G178" s="297"/>
      <c r="H178" s="297"/>
      <c r="I178" s="297"/>
      <c r="J178" s="297"/>
      <c r="K178" s="297"/>
      <c r="L178" s="297"/>
      <c r="M178" s="297"/>
      <c r="N178" s="297"/>
      <c r="O178" s="297"/>
      <c r="P178" s="297"/>
    </row>
    <row r="179" spans="7:19" ht="15" customHeight="1">
      <c r="G179" s="297"/>
      <c r="H179" s="297"/>
      <c r="I179" s="297"/>
      <c r="J179" s="297"/>
      <c r="K179" s="297"/>
      <c r="L179" s="297"/>
      <c r="M179" s="297"/>
      <c r="N179" s="297"/>
      <c r="O179" s="297"/>
      <c r="P179" s="297"/>
      <c r="R179" s="96"/>
    </row>
    <row r="180" spans="7:19" ht="15" customHeight="1">
      <c r="G180" s="297"/>
      <c r="H180" s="297"/>
      <c r="I180" s="297"/>
      <c r="J180" s="297"/>
      <c r="K180" s="297"/>
      <c r="L180" s="297"/>
      <c r="M180" s="297"/>
      <c r="N180" s="297"/>
      <c r="O180" s="297"/>
      <c r="P180" s="297"/>
    </row>
    <row r="181" spans="7:19" ht="15" customHeight="1">
      <c r="G181" s="297"/>
      <c r="H181" s="297"/>
      <c r="I181" s="297"/>
      <c r="J181" s="297"/>
      <c r="K181" s="297"/>
      <c r="L181" s="297"/>
      <c r="M181" s="297"/>
      <c r="N181" s="297"/>
      <c r="O181" s="297"/>
      <c r="P181" s="297"/>
    </row>
    <row r="182" spans="7:19" ht="15" customHeight="1">
      <c r="G182" s="297"/>
      <c r="H182" s="297"/>
      <c r="I182" s="297"/>
      <c r="J182" s="297"/>
      <c r="K182" s="297"/>
      <c r="L182" s="297"/>
      <c r="M182" s="297"/>
      <c r="N182" s="297"/>
      <c r="O182" s="297"/>
      <c r="P182" s="297"/>
    </row>
    <row r="183" spans="7:19" ht="15" customHeight="1">
      <c r="G183" s="297"/>
      <c r="H183" s="297"/>
      <c r="I183" s="297"/>
      <c r="J183" s="297"/>
      <c r="K183" s="297"/>
      <c r="L183" s="297"/>
      <c r="M183" s="297"/>
      <c r="N183" s="297"/>
      <c r="O183" s="297"/>
      <c r="P183" s="297"/>
    </row>
    <row r="184" spans="7:19" ht="15" customHeight="1">
      <c r="G184" s="297"/>
      <c r="H184" s="297"/>
      <c r="I184" s="297"/>
      <c r="J184" s="297"/>
      <c r="K184" s="297"/>
      <c r="L184" s="297"/>
      <c r="M184" s="297"/>
      <c r="N184" s="297"/>
      <c r="O184" s="297"/>
      <c r="P184" s="297"/>
    </row>
  </sheetData>
  <dataConsolidate/>
  <mergeCells count="8">
    <mergeCell ref="Z1:AB1"/>
    <mergeCell ref="V2:W2"/>
    <mergeCell ref="A1:A4"/>
    <mergeCell ref="I1:M1"/>
    <mergeCell ref="O1:P1"/>
    <mergeCell ref="R1:S1"/>
    <mergeCell ref="V1:W1"/>
    <mergeCell ref="X1:Y1"/>
  </mergeCells>
  <conditionalFormatting sqref="M5 M2:M3">
    <cfRule type="cellIs" dxfId="1318" priority="995" operator="lessThan">
      <formula>0</formula>
    </cfRule>
    <cfRule type="cellIs" dxfId="1317" priority="996" operator="lessThan">
      <formula>$S$4+#REF!</formula>
    </cfRule>
    <cfRule type="cellIs" dxfId="1316" priority="997" operator="lessThan">
      <formula>5</formula>
    </cfRule>
  </conditionalFormatting>
  <conditionalFormatting sqref="T3:T5">
    <cfRule type="dataBar" priority="988">
      <dataBar>
        <cfvo type="num" val="0"/>
        <cfvo type="num" val="1"/>
        <color rgb="FF9AC7F0"/>
      </dataBar>
      <extLst>
        <ext xmlns:x14="http://schemas.microsoft.com/office/spreadsheetml/2009/9/main" uri="{B025F937-C7B1-47D3-B67F-A62EFF666E3E}">
          <x14:id>{1428D20A-9305-4E21-ABE4-7670C34AC8CA}</x14:id>
        </ext>
      </extLst>
    </cfRule>
  </conditionalFormatting>
  <conditionalFormatting sqref="W3:W4">
    <cfRule type="containsBlanks" dxfId="1315" priority="978">
      <formula>LEN(TRIM(W3))=0</formula>
    </cfRule>
    <cfRule type="cellIs" dxfId="1314" priority="980" operator="greaterThan">
      <formula>0</formula>
    </cfRule>
    <cfRule type="cellIs" dxfId="1313" priority="981" operator="lessThanOrEqual">
      <formula>0</formula>
    </cfRule>
  </conditionalFormatting>
  <conditionalFormatting sqref="S4">
    <cfRule type="cellIs" dxfId="1312" priority="963" operator="lessThan">
      <formula>0</formula>
    </cfRule>
  </conditionalFormatting>
  <conditionalFormatting sqref="T4">
    <cfRule type="cellIs" dxfId="1311" priority="962" operator="greaterThan">
      <formula>1</formula>
    </cfRule>
  </conditionalFormatting>
  <conditionalFormatting sqref="J3">
    <cfRule type="notContainsBlanks" dxfId="1310" priority="942">
      <formula>LEN(TRIM(J3))&gt;0</formula>
    </cfRule>
  </conditionalFormatting>
  <conditionalFormatting sqref="L3">
    <cfRule type="notContainsBlanks" dxfId="1309" priority="941">
      <formula>LEN(TRIM(L3))&gt;0</formula>
    </cfRule>
  </conditionalFormatting>
  <conditionalFormatting sqref="M3">
    <cfRule type="notContainsBlanks" dxfId="1308" priority="940">
      <formula>LEN(TRIM(M3))&gt;0</formula>
    </cfRule>
  </conditionalFormatting>
  <conditionalFormatting sqref="I3">
    <cfRule type="expression" dxfId="1307" priority="938">
      <formula>AND(J3&lt;&gt;"",J3&lt;=TODAY(),P3&lt;1)</formula>
    </cfRule>
  </conditionalFormatting>
  <conditionalFormatting sqref="H3">
    <cfRule type="expression" dxfId="1306" priority="937">
      <formula>IF($H$4&lt;&gt;"",TRUE,FALSE)</formula>
    </cfRule>
  </conditionalFormatting>
  <conditionalFormatting sqref="H4">
    <cfRule type="notContainsBlanks" dxfId="1305" priority="901">
      <formula>LEN(TRIM(H4))&gt;0</formula>
    </cfRule>
  </conditionalFormatting>
  <conditionalFormatting sqref="I13">
    <cfRule type="expression" dxfId="1304" priority="900">
      <formula>AND(J13&lt;&gt;"",J13&lt;=TODAY(),P13&lt;1)</formula>
    </cfRule>
  </conditionalFormatting>
  <conditionalFormatting sqref="P13">
    <cfRule type="dataBar" priority="899">
      <dataBar>
        <cfvo type="num" val="0"/>
        <cfvo type="num" val="1"/>
        <color rgb="FF9AC7F0"/>
      </dataBar>
      <extLst>
        <ext xmlns:x14="http://schemas.microsoft.com/office/spreadsheetml/2009/9/main" uri="{B025F937-C7B1-47D3-B67F-A62EFF666E3E}">
          <x14:id>{2BCCE229-066F-4F94-A96E-449CD767F421}</x14:id>
        </ext>
      </extLst>
    </cfRule>
  </conditionalFormatting>
  <conditionalFormatting sqref="O13">
    <cfRule type="dataBar" priority="898">
      <dataBar>
        <cfvo type="num" val="0"/>
        <cfvo type="num" val="1"/>
        <color rgb="FF9AC7F0"/>
      </dataBar>
      <extLst>
        <ext xmlns:x14="http://schemas.microsoft.com/office/spreadsheetml/2009/9/main" uri="{B025F937-C7B1-47D3-B67F-A62EFF666E3E}">
          <x14:id>{15A7B7F5-7B75-4281-9712-400BEC47B2D8}</x14:id>
        </ext>
      </extLst>
    </cfRule>
  </conditionalFormatting>
  <conditionalFormatting sqref="K13">
    <cfRule type="expression" priority="895">
      <formula>IF(M13="Done",TRUE,FALSE)</formula>
    </cfRule>
    <cfRule type="cellIs" dxfId="1303" priority="896" operator="greaterThan">
      <formula>P13</formula>
    </cfRule>
    <cfRule type="dataBar" priority="897">
      <dataBar>
        <cfvo type="num" val="0"/>
        <cfvo type="num" val="1"/>
        <color rgb="FF9AC7F0"/>
      </dataBar>
      <extLst>
        <ext xmlns:x14="http://schemas.microsoft.com/office/spreadsheetml/2009/9/main" uri="{B025F937-C7B1-47D3-B67F-A62EFF666E3E}">
          <x14:id>{DF78944F-86FE-41FF-9FA4-D049FE6A5230}</x14:id>
        </ext>
      </extLst>
    </cfRule>
  </conditionalFormatting>
  <conditionalFormatting sqref="M13">
    <cfRule type="cellIs" dxfId="1302" priority="892" operator="lessThan">
      <formula>0</formula>
    </cfRule>
    <cfRule type="cellIs" dxfId="1301" priority="893" operator="lessThan">
      <formula>S13</formula>
    </cfRule>
    <cfRule type="cellIs" dxfId="1300" priority="894" operator="lessThan">
      <formula>5</formula>
    </cfRule>
  </conditionalFormatting>
  <conditionalFormatting sqref="M13">
    <cfRule type="cellIs" dxfId="1299" priority="891" operator="equal">
      <formula>"Done"</formula>
    </cfRule>
  </conditionalFormatting>
  <conditionalFormatting sqref="T8">
    <cfRule type="cellIs" dxfId="1298" priority="884" operator="greaterThan">
      <formula>1</formula>
    </cfRule>
    <cfRule type="dataBar" priority="889">
      <dataBar>
        <cfvo type="num" val="0"/>
        <cfvo type="num" val="1"/>
        <color rgb="FF9AC7F0"/>
      </dataBar>
      <extLst>
        <ext xmlns:x14="http://schemas.microsoft.com/office/spreadsheetml/2009/9/main" uri="{B025F937-C7B1-47D3-B67F-A62EFF666E3E}">
          <x14:id>{55C65B53-5C00-4ACD-81AE-686CCB59CA60}</x14:id>
        </ext>
      </extLst>
    </cfRule>
  </conditionalFormatting>
  <conditionalFormatting sqref="W8">
    <cfRule type="containsBlanks" dxfId="1297" priority="885">
      <formula>LEN(TRIM(W8))=0</formula>
    </cfRule>
    <cfRule type="cellIs" dxfId="1296" priority="887" operator="greaterThan">
      <formula>0</formula>
    </cfRule>
    <cfRule type="cellIs" dxfId="1295" priority="888" operator="lessThanOrEqual">
      <formula>0</formula>
    </cfRule>
  </conditionalFormatting>
  <conditionalFormatting sqref="H8">
    <cfRule type="cellIs" dxfId="1294" priority="883" operator="equal">
      <formula>"Nicht buchbar!"</formula>
    </cfRule>
  </conditionalFormatting>
  <conditionalFormatting sqref="I8">
    <cfRule type="expression" dxfId="1293" priority="882">
      <formula>AND(J8&lt;&gt;"",J8&lt;=TODAY(),P8&lt;1)</formula>
    </cfRule>
  </conditionalFormatting>
  <conditionalFormatting sqref="K8">
    <cfRule type="dataBar" priority="881">
      <dataBar>
        <cfvo type="num" val="0"/>
        <cfvo type="num" val="1"/>
        <color rgb="FF9AC7F0"/>
      </dataBar>
      <extLst>
        <ext xmlns:x14="http://schemas.microsoft.com/office/spreadsheetml/2009/9/main" uri="{B025F937-C7B1-47D3-B67F-A62EFF666E3E}">
          <x14:id>{BD77165F-7A3F-4132-9FFA-820790707A6B}</x14:id>
        </ext>
      </extLst>
    </cfRule>
    <cfRule type="notContainsBlanks" dxfId="1292" priority="890">
      <formula>LEN(TRIM(K8))&gt;0</formula>
    </cfRule>
  </conditionalFormatting>
  <conditionalFormatting sqref="M8">
    <cfRule type="cellIs" dxfId="1291" priority="877" operator="lessThan">
      <formula>0</formula>
    </cfRule>
    <cfRule type="cellIs" dxfId="1290" priority="878" operator="lessThan">
      <formula>T8</formula>
    </cfRule>
    <cfRule type="cellIs" dxfId="1289" priority="879" operator="lessThan">
      <formula>5</formula>
    </cfRule>
  </conditionalFormatting>
  <conditionalFormatting sqref="M8">
    <cfRule type="cellIs" dxfId="1288" priority="876" operator="equal">
      <formula>"Done"</formula>
    </cfRule>
    <cfRule type="notContainsBlanks" dxfId="1287" priority="880">
      <formula>LEN(TRIM(M8))&gt;0</formula>
    </cfRule>
  </conditionalFormatting>
  <conditionalFormatting sqref="T14">
    <cfRule type="dataBar" priority="875">
      <dataBar>
        <cfvo type="num" val="0"/>
        <cfvo type="num" val="1"/>
        <color rgb="FF9AC7F0"/>
      </dataBar>
      <extLst>
        <ext xmlns:x14="http://schemas.microsoft.com/office/spreadsheetml/2009/9/main" uri="{B025F937-C7B1-47D3-B67F-A62EFF666E3E}">
          <x14:id>{6C113ADF-3619-4375-8EB9-D3ACCFF7D719}</x14:id>
        </ext>
      </extLst>
    </cfRule>
  </conditionalFormatting>
  <conditionalFormatting sqref="T12">
    <cfRule type="cellIs" dxfId="1286" priority="863" operator="greaterThan">
      <formula>1</formula>
    </cfRule>
    <cfRule type="dataBar" priority="869">
      <dataBar>
        <cfvo type="num" val="0"/>
        <cfvo type="num" val="1"/>
        <color rgb="FF9AC7F0"/>
      </dataBar>
      <extLst>
        <ext xmlns:x14="http://schemas.microsoft.com/office/spreadsheetml/2009/9/main" uri="{B025F937-C7B1-47D3-B67F-A62EFF666E3E}">
          <x14:id>{D0B5BE33-F848-4285-8BF4-2FF4E057D611}</x14:id>
        </ext>
      </extLst>
    </cfRule>
  </conditionalFormatting>
  <conditionalFormatting sqref="M12">
    <cfRule type="cellIs" dxfId="1285" priority="858" operator="equal">
      <formula>"Done"</formula>
    </cfRule>
    <cfRule type="cellIs" dxfId="1284" priority="870" operator="lessThan">
      <formula>0</formula>
    </cfRule>
    <cfRule type="cellIs" dxfId="1283" priority="871" operator="lessThan">
      <formula>$S$12</formula>
    </cfRule>
    <cfRule type="cellIs" dxfId="1282" priority="872" operator="lessThan">
      <formula>5</formula>
    </cfRule>
  </conditionalFormatting>
  <conditionalFormatting sqref="W12">
    <cfRule type="containsBlanks" dxfId="1281" priority="865">
      <formula>LEN(TRIM(W12))=0</formula>
    </cfRule>
    <cfRule type="cellIs" dxfId="1280" priority="867" operator="greaterThan">
      <formula>0</formula>
    </cfRule>
    <cfRule type="cellIs" dxfId="1279" priority="868" operator="lessThanOrEqual">
      <formula>0</formula>
    </cfRule>
  </conditionalFormatting>
  <conditionalFormatting sqref="T9">
    <cfRule type="dataBar" priority="864">
      <dataBar>
        <cfvo type="num" val="0"/>
        <cfvo type="num" val="1"/>
        <color rgb="FF9AC7F0"/>
      </dataBar>
      <extLst>
        <ext xmlns:x14="http://schemas.microsoft.com/office/spreadsheetml/2009/9/main" uri="{B025F937-C7B1-47D3-B67F-A62EFF666E3E}">
          <x14:id>{AB72B84B-6BAA-4855-81B4-723E55F81CDF}</x14:id>
        </ext>
      </extLst>
    </cfRule>
  </conditionalFormatting>
  <conditionalFormatting sqref="I12">
    <cfRule type="expression" dxfId="1278" priority="862">
      <formula>AND(J12&lt;&gt;"",J12&lt;=TODAY(),P12&lt;1,M12&lt;&gt;"Done")</formula>
    </cfRule>
  </conditionalFormatting>
  <conditionalFormatting sqref="H12">
    <cfRule type="cellIs" dxfId="1277" priority="861" operator="equal">
      <formula>"Nicht buchbar!"</formula>
    </cfRule>
  </conditionalFormatting>
  <conditionalFormatting sqref="K12">
    <cfRule type="dataBar" priority="859">
      <dataBar>
        <cfvo type="num" val="0"/>
        <cfvo type="num" val="1"/>
        <color rgb="FF9AC7F0"/>
      </dataBar>
      <extLst>
        <ext xmlns:x14="http://schemas.microsoft.com/office/spreadsheetml/2009/9/main" uri="{B025F937-C7B1-47D3-B67F-A62EFF666E3E}">
          <x14:id>{4C1D4A87-AC49-4D6F-BD7C-CF0B7E7B55FB}</x14:id>
        </ext>
      </extLst>
    </cfRule>
    <cfRule type="notContainsBlanks" dxfId="1276" priority="860">
      <formula>LEN(TRIM(K12))&gt;0</formula>
    </cfRule>
  </conditionalFormatting>
  <conditionalFormatting sqref="T57">
    <cfRule type="cellIs" dxfId="1275" priority="845" operator="greaterThan">
      <formula>1</formula>
    </cfRule>
    <cfRule type="dataBar" priority="852">
      <dataBar>
        <cfvo type="num" val="0"/>
        <cfvo type="num" val="1"/>
        <color rgb="FF9AC7F0"/>
      </dataBar>
      <extLst>
        <ext xmlns:x14="http://schemas.microsoft.com/office/spreadsheetml/2009/9/main" uri="{B025F937-C7B1-47D3-B67F-A62EFF666E3E}">
          <x14:id>{CA2058F1-8F25-41D7-A3DA-2675998E9C9D}</x14:id>
        </ext>
      </extLst>
    </cfRule>
  </conditionalFormatting>
  <conditionalFormatting sqref="T59">
    <cfRule type="dataBar" priority="851">
      <dataBar>
        <cfvo type="num" val="0"/>
        <cfvo type="num" val="1"/>
        <color rgb="FF9AC7F0"/>
      </dataBar>
      <extLst>
        <ext xmlns:x14="http://schemas.microsoft.com/office/spreadsheetml/2009/9/main" uri="{B025F937-C7B1-47D3-B67F-A62EFF666E3E}">
          <x14:id>{64E87B27-94CA-4E42-9A1F-EDD2358BF668}</x14:id>
        </ext>
      </extLst>
    </cfRule>
  </conditionalFormatting>
  <conditionalFormatting sqref="M57">
    <cfRule type="cellIs" dxfId="1274" priority="836" operator="equal">
      <formula>"Done"</formula>
    </cfRule>
    <cfRule type="cellIs" dxfId="1273" priority="853" operator="lessThan">
      <formula>0</formula>
    </cfRule>
    <cfRule type="cellIs" dxfId="1272" priority="854" operator="lessThan">
      <formula>$S$12</formula>
    </cfRule>
    <cfRule type="cellIs" dxfId="1271" priority="855" operator="lessThan">
      <formula>5</formula>
    </cfRule>
  </conditionalFormatting>
  <conditionalFormatting sqref="W57">
    <cfRule type="containsBlanks" dxfId="1270" priority="847">
      <formula>LEN(TRIM(W57))=0</formula>
    </cfRule>
    <cfRule type="cellIs" dxfId="1269" priority="849" operator="greaterThan">
      <formula>0</formula>
    </cfRule>
    <cfRule type="cellIs" dxfId="1268" priority="850" operator="lessThanOrEqual">
      <formula>0</formula>
    </cfRule>
  </conditionalFormatting>
  <conditionalFormatting sqref="O58">
    <cfRule type="dataBar" priority="846">
      <dataBar>
        <cfvo type="num" val="0"/>
        <cfvo type="num" val="1"/>
        <color rgb="FF9AC7F0"/>
      </dataBar>
      <extLst>
        <ext xmlns:x14="http://schemas.microsoft.com/office/spreadsheetml/2009/9/main" uri="{B025F937-C7B1-47D3-B67F-A62EFF666E3E}">
          <x14:id>{6BF08C4E-D746-4ACE-B5E2-38CE8D63C2B7}</x14:id>
        </ext>
      </extLst>
    </cfRule>
  </conditionalFormatting>
  <conditionalFormatting sqref="I57">
    <cfRule type="expression" dxfId="1267" priority="844">
      <formula>AND(J57&lt;&gt;"",J57&lt;=TODAY(),P57&lt;1,M57&lt;&gt;"Done")</formula>
    </cfRule>
  </conditionalFormatting>
  <conditionalFormatting sqref="H57">
    <cfRule type="cellIs" dxfId="1266" priority="843" operator="equal">
      <formula>"Nicht buchbar!"</formula>
    </cfRule>
  </conditionalFormatting>
  <conditionalFormatting sqref="K58">
    <cfRule type="expression" priority="835">
      <formula>IF(M58="Done",TRUE,FALSE)</formula>
    </cfRule>
    <cfRule type="cellIs" dxfId="1265" priority="837" operator="greaterThan">
      <formula>P58</formula>
    </cfRule>
    <cfRule type="dataBar" priority="842">
      <dataBar>
        <cfvo type="num" val="0"/>
        <cfvo type="num" val="1"/>
        <color rgb="FF9AC7F0"/>
      </dataBar>
      <extLst>
        <ext xmlns:x14="http://schemas.microsoft.com/office/spreadsheetml/2009/9/main" uri="{B025F937-C7B1-47D3-B67F-A62EFF666E3E}">
          <x14:id>{2F698CC3-293B-4D5A-8BC7-7CD139F9A618}</x14:id>
        </ext>
      </extLst>
    </cfRule>
  </conditionalFormatting>
  <conditionalFormatting sqref="K57">
    <cfRule type="dataBar" priority="840">
      <dataBar>
        <cfvo type="num" val="0"/>
        <cfvo type="num" val="1"/>
        <color rgb="FF9AC7F0"/>
      </dataBar>
      <extLst>
        <ext xmlns:x14="http://schemas.microsoft.com/office/spreadsheetml/2009/9/main" uri="{B025F937-C7B1-47D3-B67F-A62EFF666E3E}">
          <x14:id>{EB182156-BF89-4886-8D7E-CECC5FAB9E8F}</x14:id>
        </ext>
      </extLst>
    </cfRule>
    <cfRule type="notContainsBlanks" dxfId="1264" priority="841">
      <formula>LEN(TRIM(K57))&gt;0</formula>
    </cfRule>
  </conditionalFormatting>
  <conditionalFormatting sqref="I58">
    <cfRule type="expression" dxfId="1263" priority="839">
      <formula>AND(J58&lt;&gt;"",J58&lt;=TODAY(),P58&lt;1)</formula>
    </cfRule>
  </conditionalFormatting>
  <conditionalFormatting sqref="P58">
    <cfRule type="dataBar" priority="838">
      <dataBar>
        <cfvo type="num" val="0"/>
        <cfvo type="num" val="1"/>
        <color rgb="FF9AC7F0"/>
      </dataBar>
      <extLst>
        <ext xmlns:x14="http://schemas.microsoft.com/office/spreadsheetml/2009/9/main" uri="{B025F937-C7B1-47D3-B67F-A62EFF666E3E}">
          <x14:id>{36907BF3-1637-4D4E-8AA7-FB3A3AC51D71}</x14:id>
        </ext>
      </extLst>
    </cfRule>
  </conditionalFormatting>
  <conditionalFormatting sqref="M58">
    <cfRule type="cellIs" dxfId="1262" priority="832" operator="lessThan">
      <formula>0</formula>
    </cfRule>
    <cfRule type="cellIs" dxfId="1261" priority="833" operator="lessThan">
      <formula>S58</formula>
    </cfRule>
    <cfRule type="cellIs" dxfId="1260" priority="834" operator="lessThan">
      <formula>5</formula>
    </cfRule>
  </conditionalFormatting>
  <conditionalFormatting sqref="M58">
    <cfRule type="cellIs" dxfId="1259" priority="831" operator="equal">
      <formula>"Done"</formula>
    </cfRule>
  </conditionalFormatting>
  <conditionalFormatting sqref="T62">
    <cfRule type="cellIs" dxfId="1258" priority="818" operator="greaterThan">
      <formula>1</formula>
    </cfRule>
    <cfRule type="dataBar" priority="825">
      <dataBar>
        <cfvo type="num" val="0"/>
        <cfvo type="num" val="1"/>
        <color rgb="FF9AC7F0"/>
      </dataBar>
      <extLst>
        <ext xmlns:x14="http://schemas.microsoft.com/office/spreadsheetml/2009/9/main" uri="{B025F937-C7B1-47D3-B67F-A62EFF666E3E}">
          <x14:id>{267D6545-0550-41EF-BA44-5F2C7E32A412}</x14:id>
        </ext>
      </extLst>
    </cfRule>
  </conditionalFormatting>
  <conditionalFormatting sqref="T64">
    <cfRule type="dataBar" priority="824">
      <dataBar>
        <cfvo type="num" val="0"/>
        <cfvo type="num" val="1"/>
        <color rgb="FF9AC7F0"/>
      </dataBar>
      <extLst>
        <ext xmlns:x14="http://schemas.microsoft.com/office/spreadsheetml/2009/9/main" uri="{B025F937-C7B1-47D3-B67F-A62EFF666E3E}">
          <x14:id>{F153A898-08FB-42A4-A335-263AF14B6FBE}</x14:id>
        </ext>
      </extLst>
    </cfRule>
  </conditionalFormatting>
  <conditionalFormatting sqref="M62">
    <cfRule type="cellIs" dxfId="1257" priority="809" operator="equal">
      <formula>"Done"</formula>
    </cfRule>
    <cfRule type="cellIs" dxfId="1256" priority="826" operator="lessThan">
      <formula>0</formula>
    </cfRule>
    <cfRule type="cellIs" dxfId="1255" priority="827" operator="lessThan">
      <formula>$S$12</formula>
    </cfRule>
    <cfRule type="cellIs" dxfId="1254" priority="828" operator="lessThan">
      <formula>5</formula>
    </cfRule>
  </conditionalFormatting>
  <conditionalFormatting sqref="W62">
    <cfRule type="containsBlanks" dxfId="1253" priority="820">
      <formula>LEN(TRIM(W62))=0</formula>
    </cfRule>
    <cfRule type="cellIs" dxfId="1252" priority="822" operator="greaterThan">
      <formula>0</formula>
    </cfRule>
    <cfRule type="cellIs" dxfId="1251" priority="823" operator="lessThanOrEqual">
      <formula>0</formula>
    </cfRule>
  </conditionalFormatting>
  <conditionalFormatting sqref="O63">
    <cfRule type="dataBar" priority="819">
      <dataBar>
        <cfvo type="num" val="0"/>
        <cfvo type="num" val="1"/>
        <color rgb="FF9AC7F0"/>
      </dataBar>
      <extLst>
        <ext xmlns:x14="http://schemas.microsoft.com/office/spreadsheetml/2009/9/main" uri="{B025F937-C7B1-47D3-B67F-A62EFF666E3E}">
          <x14:id>{9C986A15-1450-4692-961D-D10548635EF1}</x14:id>
        </ext>
      </extLst>
    </cfRule>
  </conditionalFormatting>
  <conditionalFormatting sqref="I62">
    <cfRule type="expression" dxfId="1250" priority="817">
      <formula>AND(J62&lt;&gt;"",J62&lt;=TODAY(),P62&lt;1,M62&lt;&gt;"Done")</formula>
    </cfRule>
  </conditionalFormatting>
  <conditionalFormatting sqref="H62">
    <cfRule type="cellIs" dxfId="1249" priority="816" operator="equal">
      <formula>"Nicht buchbar!"</formula>
    </cfRule>
  </conditionalFormatting>
  <conditionalFormatting sqref="K63">
    <cfRule type="expression" priority="808">
      <formula>IF(M63="Done",TRUE,FALSE)</formula>
    </cfRule>
    <cfRule type="cellIs" dxfId="1248" priority="810" operator="greaterThan">
      <formula>P63</formula>
    </cfRule>
    <cfRule type="dataBar" priority="815">
      <dataBar>
        <cfvo type="num" val="0"/>
        <cfvo type="num" val="1"/>
        <color rgb="FF9AC7F0"/>
      </dataBar>
      <extLst>
        <ext xmlns:x14="http://schemas.microsoft.com/office/spreadsheetml/2009/9/main" uri="{B025F937-C7B1-47D3-B67F-A62EFF666E3E}">
          <x14:id>{BECB4A16-2119-41BF-BD20-F9956F20CBCC}</x14:id>
        </ext>
      </extLst>
    </cfRule>
  </conditionalFormatting>
  <conditionalFormatting sqref="K62">
    <cfRule type="dataBar" priority="813">
      <dataBar>
        <cfvo type="num" val="0"/>
        <cfvo type="num" val="1"/>
        <color rgb="FF9AC7F0"/>
      </dataBar>
      <extLst>
        <ext xmlns:x14="http://schemas.microsoft.com/office/spreadsheetml/2009/9/main" uri="{B025F937-C7B1-47D3-B67F-A62EFF666E3E}">
          <x14:id>{EA19FA4D-B375-4E8C-9DA1-C3825E55080F}</x14:id>
        </ext>
      </extLst>
    </cfRule>
    <cfRule type="notContainsBlanks" dxfId="1247" priority="814">
      <formula>LEN(TRIM(K62))&gt;0</formula>
    </cfRule>
  </conditionalFormatting>
  <conditionalFormatting sqref="I63">
    <cfRule type="expression" dxfId="1246" priority="812">
      <formula>AND(J63&lt;&gt;"",J63&lt;=TODAY(),P63&lt;1)</formula>
    </cfRule>
  </conditionalFormatting>
  <conditionalFormatting sqref="P63">
    <cfRule type="dataBar" priority="811">
      <dataBar>
        <cfvo type="num" val="0"/>
        <cfvo type="num" val="1"/>
        <color rgb="FF9AC7F0"/>
      </dataBar>
      <extLst>
        <ext xmlns:x14="http://schemas.microsoft.com/office/spreadsheetml/2009/9/main" uri="{B025F937-C7B1-47D3-B67F-A62EFF666E3E}">
          <x14:id>{CF6B1A86-69BA-4657-917F-0DC4F7D6317C}</x14:id>
        </ext>
      </extLst>
    </cfRule>
  </conditionalFormatting>
  <conditionalFormatting sqref="M63">
    <cfRule type="cellIs" dxfId="1245" priority="805" operator="lessThan">
      <formula>0</formula>
    </cfRule>
    <cfRule type="cellIs" dxfId="1244" priority="806" operator="lessThan">
      <formula>S63</formula>
    </cfRule>
    <cfRule type="cellIs" dxfId="1243" priority="807" operator="lessThan">
      <formula>5</formula>
    </cfRule>
  </conditionalFormatting>
  <conditionalFormatting sqref="M63">
    <cfRule type="cellIs" dxfId="1242" priority="804" operator="equal">
      <formula>"Done"</formula>
    </cfRule>
  </conditionalFormatting>
  <conditionalFormatting sqref="T67">
    <cfRule type="cellIs" dxfId="1241" priority="791" operator="greaterThan">
      <formula>1</formula>
    </cfRule>
    <cfRule type="dataBar" priority="798">
      <dataBar>
        <cfvo type="num" val="0"/>
        <cfvo type="num" val="1"/>
        <color rgb="FF9AC7F0"/>
      </dataBar>
      <extLst>
        <ext xmlns:x14="http://schemas.microsoft.com/office/spreadsheetml/2009/9/main" uri="{B025F937-C7B1-47D3-B67F-A62EFF666E3E}">
          <x14:id>{F3CAF137-5B87-4751-8DE4-E5428EABD552}</x14:id>
        </ext>
      </extLst>
    </cfRule>
  </conditionalFormatting>
  <conditionalFormatting sqref="T69">
    <cfRule type="dataBar" priority="797">
      <dataBar>
        <cfvo type="num" val="0"/>
        <cfvo type="num" val="1"/>
        <color rgb="FF9AC7F0"/>
      </dataBar>
      <extLst>
        <ext xmlns:x14="http://schemas.microsoft.com/office/spreadsheetml/2009/9/main" uri="{B025F937-C7B1-47D3-B67F-A62EFF666E3E}">
          <x14:id>{D7BAA872-F1BB-4952-9F3C-1093915CCAB1}</x14:id>
        </ext>
      </extLst>
    </cfRule>
  </conditionalFormatting>
  <conditionalFormatting sqref="M67">
    <cfRule type="cellIs" dxfId="1240" priority="782" operator="equal">
      <formula>"Done"</formula>
    </cfRule>
    <cfRule type="cellIs" dxfId="1239" priority="799" operator="lessThan">
      <formula>0</formula>
    </cfRule>
    <cfRule type="cellIs" dxfId="1238" priority="800" operator="lessThan">
      <formula>$S$12</formula>
    </cfRule>
    <cfRule type="cellIs" dxfId="1237" priority="801" operator="lessThan">
      <formula>5</formula>
    </cfRule>
  </conditionalFormatting>
  <conditionalFormatting sqref="W67">
    <cfRule type="containsBlanks" dxfId="1236" priority="793">
      <formula>LEN(TRIM(W67))=0</formula>
    </cfRule>
    <cfRule type="cellIs" dxfId="1235" priority="795" operator="greaterThan">
      <formula>0</formula>
    </cfRule>
    <cfRule type="cellIs" dxfId="1234" priority="796" operator="lessThanOrEqual">
      <formula>0</formula>
    </cfRule>
  </conditionalFormatting>
  <conditionalFormatting sqref="O68">
    <cfRule type="dataBar" priority="792">
      <dataBar>
        <cfvo type="num" val="0"/>
        <cfvo type="num" val="1"/>
        <color rgb="FF9AC7F0"/>
      </dataBar>
      <extLst>
        <ext xmlns:x14="http://schemas.microsoft.com/office/spreadsheetml/2009/9/main" uri="{B025F937-C7B1-47D3-B67F-A62EFF666E3E}">
          <x14:id>{B0E95092-94BC-4354-9F02-63570470AE82}</x14:id>
        </ext>
      </extLst>
    </cfRule>
  </conditionalFormatting>
  <conditionalFormatting sqref="I67">
    <cfRule type="expression" dxfId="1233" priority="790">
      <formula>AND(J67&lt;&gt;"",J67&lt;=TODAY(),P67&lt;1,M67&lt;&gt;"Done")</formula>
    </cfRule>
  </conditionalFormatting>
  <conditionalFormatting sqref="H67">
    <cfRule type="cellIs" dxfId="1232" priority="789" operator="equal">
      <formula>"Nicht buchbar!"</formula>
    </cfRule>
  </conditionalFormatting>
  <conditionalFormatting sqref="K68">
    <cfRule type="expression" priority="781">
      <formula>IF(M68="Done",TRUE,FALSE)</formula>
    </cfRule>
    <cfRule type="cellIs" dxfId="1231" priority="783" operator="greaterThan">
      <formula>P68</formula>
    </cfRule>
    <cfRule type="dataBar" priority="788">
      <dataBar>
        <cfvo type="num" val="0"/>
        <cfvo type="num" val="1"/>
        <color rgb="FF9AC7F0"/>
      </dataBar>
      <extLst>
        <ext xmlns:x14="http://schemas.microsoft.com/office/spreadsheetml/2009/9/main" uri="{B025F937-C7B1-47D3-B67F-A62EFF666E3E}">
          <x14:id>{6D50173D-48ED-4CDA-8BA7-CFE384332B5C}</x14:id>
        </ext>
      </extLst>
    </cfRule>
  </conditionalFormatting>
  <conditionalFormatting sqref="K67">
    <cfRule type="dataBar" priority="786">
      <dataBar>
        <cfvo type="num" val="0"/>
        <cfvo type="num" val="1"/>
        <color rgb="FF9AC7F0"/>
      </dataBar>
      <extLst>
        <ext xmlns:x14="http://schemas.microsoft.com/office/spreadsheetml/2009/9/main" uri="{B025F937-C7B1-47D3-B67F-A62EFF666E3E}">
          <x14:id>{9AFD4352-E6D7-46ED-B7C4-A60AF49477BC}</x14:id>
        </ext>
      </extLst>
    </cfRule>
    <cfRule type="notContainsBlanks" dxfId="1230" priority="787">
      <formula>LEN(TRIM(K67))&gt;0</formula>
    </cfRule>
  </conditionalFormatting>
  <conditionalFormatting sqref="I68">
    <cfRule type="expression" dxfId="1229" priority="785">
      <formula>AND(J68&lt;&gt;"",J68&lt;=TODAY(),P68&lt;1)</formula>
    </cfRule>
  </conditionalFormatting>
  <conditionalFormatting sqref="P68">
    <cfRule type="dataBar" priority="784">
      <dataBar>
        <cfvo type="num" val="0"/>
        <cfvo type="num" val="1"/>
        <color rgb="FF9AC7F0"/>
      </dataBar>
      <extLst>
        <ext xmlns:x14="http://schemas.microsoft.com/office/spreadsheetml/2009/9/main" uri="{B025F937-C7B1-47D3-B67F-A62EFF666E3E}">
          <x14:id>{362B7721-78F9-4B1E-AB92-5A5DC59F319A}</x14:id>
        </ext>
      </extLst>
    </cfRule>
  </conditionalFormatting>
  <conditionalFormatting sqref="M68">
    <cfRule type="cellIs" dxfId="1228" priority="778" operator="lessThan">
      <formula>0</formula>
    </cfRule>
    <cfRule type="cellIs" dxfId="1227" priority="779" operator="lessThan">
      <formula>S68</formula>
    </cfRule>
    <cfRule type="cellIs" dxfId="1226" priority="780" operator="lessThan">
      <formula>5</formula>
    </cfRule>
  </conditionalFormatting>
  <conditionalFormatting sqref="M68">
    <cfRule type="cellIs" dxfId="1225" priority="777" operator="equal">
      <formula>"Done"</formula>
    </cfRule>
  </conditionalFormatting>
  <conditionalFormatting sqref="T72">
    <cfRule type="cellIs" dxfId="1224" priority="764" operator="greaterThan">
      <formula>1</formula>
    </cfRule>
    <cfRule type="dataBar" priority="771">
      <dataBar>
        <cfvo type="num" val="0"/>
        <cfvo type="num" val="1"/>
        <color rgb="FF9AC7F0"/>
      </dataBar>
      <extLst>
        <ext xmlns:x14="http://schemas.microsoft.com/office/spreadsheetml/2009/9/main" uri="{B025F937-C7B1-47D3-B67F-A62EFF666E3E}">
          <x14:id>{6A0030D3-16A5-4C8B-B684-A93F22B4CE7B}</x14:id>
        </ext>
      </extLst>
    </cfRule>
  </conditionalFormatting>
  <conditionalFormatting sqref="T74">
    <cfRule type="dataBar" priority="770">
      <dataBar>
        <cfvo type="num" val="0"/>
        <cfvo type="num" val="1"/>
        <color rgb="FF9AC7F0"/>
      </dataBar>
      <extLst>
        <ext xmlns:x14="http://schemas.microsoft.com/office/spreadsheetml/2009/9/main" uri="{B025F937-C7B1-47D3-B67F-A62EFF666E3E}">
          <x14:id>{773276C1-141C-4CF0-A41C-8A1D4E9FA822}</x14:id>
        </ext>
      </extLst>
    </cfRule>
  </conditionalFormatting>
  <conditionalFormatting sqref="M72">
    <cfRule type="cellIs" dxfId="1223" priority="755" operator="equal">
      <formula>"Done"</formula>
    </cfRule>
    <cfRule type="cellIs" dxfId="1222" priority="772" operator="lessThan">
      <formula>0</formula>
    </cfRule>
    <cfRule type="cellIs" dxfId="1221" priority="773" operator="lessThan">
      <formula>$S$12</formula>
    </cfRule>
    <cfRule type="cellIs" dxfId="1220" priority="774" operator="lessThan">
      <formula>5</formula>
    </cfRule>
  </conditionalFormatting>
  <conditionalFormatting sqref="W72">
    <cfRule type="containsBlanks" dxfId="1219" priority="766">
      <formula>LEN(TRIM(W72))=0</formula>
    </cfRule>
    <cfRule type="cellIs" dxfId="1218" priority="768" operator="greaterThan">
      <formula>0</formula>
    </cfRule>
    <cfRule type="cellIs" dxfId="1217" priority="769" operator="lessThanOrEqual">
      <formula>0</formula>
    </cfRule>
  </conditionalFormatting>
  <conditionalFormatting sqref="O73">
    <cfRule type="dataBar" priority="765">
      <dataBar>
        <cfvo type="num" val="0"/>
        <cfvo type="num" val="1"/>
        <color rgb="FF9AC7F0"/>
      </dataBar>
      <extLst>
        <ext xmlns:x14="http://schemas.microsoft.com/office/spreadsheetml/2009/9/main" uri="{B025F937-C7B1-47D3-B67F-A62EFF666E3E}">
          <x14:id>{EED4BA9E-765C-4391-8B41-5DB43B23779C}</x14:id>
        </ext>
      </extLst>
    </cfRule>
  </conditionalFormatting>
  <conditionalFormatting sqref="I72">
    <cfRule type="expression" dxfId="1216" priority="763">
      <formula>AND(J72&lt;&gt;"",J72&lt;=TODAY(),P72&lt;1,M72&lt;&gt;"Done")</formula>
    </cfRule>
  </conditionalFormatting>
  <conditionalFormatting sqref="H72">
    <cfRule type="cellIs" dxfId="1215" priority="762" operator="equal">
      <formula>"Nicht buchbar!"</formula>
    </cfRule>
  </conditionalFormatting>
  <conditionalFormatting sqref="K73">
    <cfRule type="expression" priority="754">
      <formula>IF(M73="Done",TRUE,FALSE)</formula>
    </cfRule>
    <cfRule type="cellIs" dxfId="1214" priority="756" operator="greaterThan">
      <formula>P73</formula>
    </cfRule>
    <cfRule type="dataBar" priority="761">
      <dataBar>
        <cfvo type="num" val="0"/>
        <cfvo type="num" val="1"/>
        <color rgb="FF9AC7F0"/>
      </dataBar>
      <extLst>
        <ext xmlns:x14="http://schemas.microsoft.com/office/spreadsheetml/2009/9/main" uri="{B025F937-C7B1-47D3-B67F-A62EFF666E3E}">
          <x14:id>{2EFAFBDD-AD61-45D4-A585-662FEFEE8762}</x14:id>
        </ext>
      </extLst>
    </cfRule>
  </conditionalFormatting>
  <conditionalFormatting sqref="K72">
    <cfRule type="dataBar" priority="759">
      <dataBar>
        <cfvo type="num" val="0"/>
        <cfvo type="num" val="1"/>
        <color rgb="FF9AC7F0"/>
      </dataBar>
      <extLst>
        <ext xmlns:x14="http://schemas.microsoft.com/office/spreadsheetml/2009/9/main" uri="{B025F937-C7B1-47D3-B67F-A62EFF666E3E}">
          <x14:id>{B3E2B51F-FE5B-4391-B3D0-C5BE172C6BB2}</x14:id>
        </ext>
      </extLst>
    </cfRule>
    <cfRule type="notContainsBlanks" dxfId="1213" priority="760">
      <formula>LEN(TRIM(K72))&gt;0</formula>
    </cfRule>
  </conditionalFormatting>
  <conditionalFormatting sqref="I73">
    <cfRule type="expression" dxfId="1212" priority="758">
      <formula>AND(J73&lt;&gt;"",J73&lt;=TODAY(),P73&lt;1)</formula>
    </cfRule>
  </conditionalFormatting>
  <conditionalFormatting sqref="P73">
    <cfRule type="dataBar" priority="757">
      <dataBar>
        <cfvo type="num" val="0"/>
        <cfvo type="num" val="1"/>
        <color rgb="FF9AC7F0"/>
      </dataBar>
      <extLst>
        <ext xmlns:x14="http://schemas.microsoft.com/office/spreadsheetml/2009/9/main" uri="{B025F937-C7B1-47D3-B67F-A62EFF666E3E}">
          <x14:id>{A269AFF8-23F3-4DD6-8863-DEC2357079EB}</x14:id>
        </ext>
      </extLst>
    </cfRule>
  </conditionalFormatting>
  <conditionalFormatting sqref="M73">
    <cfRule type="cellIs" dxfId="1211" priority="751" operator="lessThan">
      <formula>0</formula>
    </cfRule>
    <cfRule type="cellIs" dxfId="1210" priority="752" operator="lessThan">
      <formula>S73</formula>
    </cfRule>
    <cfRule type="cellIs" dxfId="1209" priority="753" operator="lessThan">
      <formula>5</formula>
    </cfRule>
  </conditionalFormatting>
  <conditionalFormatting sqref="M73">
    <cfRule type="cellIs" dxfId="1208" priority="750" operator="equal">
      <formula>"Done"</formula>
    </cfRule>
  </conditionalFormatting>
  <conditionalFormatting sqref="T77">
    <cfRule type="cellIs" dxfId="1207" priority="737" operator="greaterThan">
      <formula>1</formula>
    </cfRule>
    <cfRule type="dataBar" priority="744">
      <dataBar>
        <cfvo type="num" val="0"/>
        <cfvo type="num" val="1"/>
        <color rgb="FF9AC7F0"/>
      </dataBar>
      <extLst>
        <ext xmlns:x14="http://schemas.microsoft.com/office/spreadsheetml/2009/9/main" uri="{B025F937-C7B1-47D3-B67F-A62EFF666E3E}">
          <x14:id>{1E1BBF1D-92EE-4F14-86EE-A1B27245DCC8}</x14:id>
        </ext>
      </extLst>
    </cfRule>
  </conditionalFormatting>
  <conditionalFormatting sqref="T79">
    <cfRule type="dataBar" priority="743">
      <dataBar>
        <cfvo type="num" val="0"/>
        <cfvo type="num" val="1"/>
        <color rgb="FF9AC7F0"/>
      </dataBar>
      <extLst>
        <ext xmlns:x14="http://schemas.microsoft.com/office/spreadsheetml/2009/9/main" uri="{B025F937-C7B1-47D3-B67F-A62EFF666E3E}">
          <x14:id>{5110CC98-136D-480E-A36D-8D7645A36CE5}</x14:id>
        </ext>
      </extLst>
    </cfRule>
  </conditionalFormatting>
  <conditionalFormatting sqref="M77">
    <cfRule type="cellIs" dxfId="1206" priority="728" operator="equal">
      <formula>"Done"</formula>
    </cfRule>
    <cfRule type="cellIs" dxfId="1205" priority="745" operator="lessThan">
      <formula>0</formula>
    </cfRule>
    <cfRule type="cellIs" dxfId="1204" priority="746" operator="lessThan">
      <formula>$S$12</formula>
    </cfRule>
    <cfRule type="cellIs" dxfId="1203" priority="747" operator="lessThan">
      <formula>5</formula>
    </cfRule>
  </conditionalFormatting>
  <conditionalFormatting sqref="W77">
    <cfRule type="containsBlanks" dxfId="1202" priority="739">
      <formula>LEN(TRIM(W77))=0</formula>
    </cfRule>
    <cfRule type="cellIs" dxfId="1201" priority="741" operator="greaterThan">
      <formula>0</formula>
    </cfRule>
    <cfRule type="cellIs" dxfId="1200" priority="742" operator="lessThanOrEqual">
      <formula>0</formula>
    </cfRule>
  </conditionalFormatting>
  <conditionalFormatting sqref="O78">
    <cfRule type="dataBar" priority="738">
      <dataBar>
        <cfvo type="num" val="0"/>
        <cfvo type="num" val="1"/>
        <color rgb="FF9AC7F0"/>
      </dataBar>
      <extLst>
        <ext xmlns:x14="http://schemas.microsoft.com/office/spreadsheetml/2009/9/main" uri="{B025F937-C7B1-47D3-B67F-A62EFF666E3E}">
          <x14:id>{4D8BBAC6-7C75-4B85-8D0E-1410C03EB12B}</x14:id>
        </ext>
      </extLst>
    </cfRule>
  </conditionalFormatting>
  <conditionalFormatting sqref="I77">
    <cfRule type="expression" dxfId="1199" priority="736">
      <formula>AND(J77&lt;&gt;"",J77&lt;=TODAY(),P77&lt;1,M77&lt;&gt;"Done")</formula>
    </cfRule>
  </conditionalFormatting>
  <conditionalFormatting sqref="H77">
    <cfRule type="cellIs" dxfId="1198" priority="735" operator="equal">
      <formula>"Nicht buchbar!"</formula>
    </cfRule>
  </conditionalFormatting>
  <conditionalFormatting sqref="K78">
    <cfRule type="expression" priority="727">
      <formula>IF(M78="Done",TRUE,FALSE)</formula>
    </cfRule>
    <cfRule type="cellIs" dxfId="1197" priority="729" operator="greaterThan">
      <formula>P78</formula>
    </cfRule>
    <cfRule type="dataBar" priority="734">
      <dataBar>
        <cfvo type="num" val="0"/>
        <cfvo type="num" val="1"/>
        <color rgb="FF9AC7F0"/>
      </dataBar>
      <extLst>
        <ext xmlns:x14="http://schemas.microsoft.com/office/spreadsheetml/2009/9/main" uri="{B025F937-C7B1-47D3-B67F-A62EFF666E3E}">
          <x14:id>{B1C4727C-3C3D-4FD4-A4E0-8DCDE97E5492}</x14:id>
        </ext>
      </extLst>
    </cfRule>
  </conditionalFormatting>
  <conditionalFormatting sqref="K77">
    <cfRule type="dataBar" priority="732">
      <dataBar>
        <cfvo type="num" val="0"/>
        <cfvo type="num" val="1"/>
        <color rgb="FF9AC7F0"/>
      </dataBar>
      <extLst>
        <ext xmlns:x14="http://schemas.microsoft.com/office/spreadsheetml/2009/9/main" uri="{B025F937-C7B1-47D3-B67F-A62EFF666E3E}">
          <x14:id>{6FD88C56-0371-430B-9BB9-ABA9A7482A58}</x14:id>
        </ext>
      </extLst>
    </cfRule>
    <cfRule type="notContainsBlanks" dxfId="1196" priority="733">
      <formula>LEN(TRIM(K77))&gt;0</formula>
    </cfRule>
  </conditionalFormatting>
  <conditionalFormatting sqref="I78">
    <cfRule type="expression" dxfId="1195" priority="731">
      <formula>AND(J78&lt;&gt;"",J78&lt;=TODAY(),P78&lt;1)</formula>
    </cfRule>
  </conditionalFormatting>
  <conditionalFormatting sqref="P78">
    <cfRule type="dataBar" priority="730">
      <dataBar>
        <cfvo type="num" val="0"/>
        <cfvo type="num" val="1"/>
        <color rgb="FF9AC7F0"/>
      </dataBar>
      <extLst>
        <ext xmlns:x14="http://schemas.microsoft.com/office/spreadsheetml/2009/9/main" uri="{B025F937-C7B1-47D3-B67F-A62EFF666E3E}">
          <x14:id>{890B5EDE-4A83-4AF5-A191-53F94ADBC445}</x14:id>
        </ext>
      </extLst>
    </cfRule>
  </conditionalFormatting>
  <conditionalFormatting sqref="M78">
    <cfRule type="cellIs" dxfId="1194" priority="724" operator="lessThan">
      <formula>0</formula>
    </cfRule>
    <cfRule type="cellIs" dxfId="1193" priority="725" operator="lessThan">
      <formula>S78</formula>
    </cfRule>
    <cfRule type="cellIs" dxfId="1192" priority="726" operator="lessThan">
      <formula>5</formula>
    </cfRule>
  </conditionalFormatting>
  <conditionalFormatting sqref="M78">
    <cfRule type="cellIs" dxfId="1191" priority="723" operator="equal">
      <formula>"Done"</formula>
    </cfRule>
  </conditionalFormatting>
  <conditionalFormatting sqref="T82">
    <cfRule type="cellIs" dxfId="1190" priority="710" operator="greaterThan">
      <formula>1</formula>
    </cfRule>
    <cfRule type="dataBar" priority="717">
      <dataBar>
        <cfvo type="num" val="0"/>
        <cfvo type="num" val="1"/>
        <color rgb="FF9AC7F0"/>
      </dataBar>
      <extLst>
        <ext xmlns:x14="http://schemas.microsoft.com/office/spreadsheetml/2009/9/main" uri="{B025F937-C7B1-47D3-B67F-A62EFF666E3E}">
          <x14:id>{3E1DC121-E0F0-4C6C-9A5C-944F70FCCA77}</x14:id>
        </ext>
      </extLst>
    </cfRule>
  </conditionalFormatting>
  <conditionalFormatting sqref="T84">
    <cfRule type="dataBar" priority="716">
      <dataBar>
        <cfvo type="num" val="0"/>
        <cfvo type="num" val="1"/>
        <color rgb="FF9AC7F0"/>
      </dataBar>
      <extLst>
        <ext xmlns:x14="http://schemas.microsoft.com/office/spreadsheetml/2009/9/main" uri="{B025F937-C7B1-47D3-B67F-A62EFF666E3E}">
          <x14:id>{854C2CF2-0EB0-4BED-8FF2-1A79C62372E8}</x14:id>
        </ext>
      </extLst>
    </cfRule>
  </conditionalFormatting>
  <conditionalFormatting sqref="M82">
    <cfRule type="cellIs" dxfId="1189" priority="701" operator="equal">
      <formula>"Done"</formula>
    </cfRule>
    <cfRule type="cellIs" dxfId="1188" priority="718" operator="lessThan">
      <formula>0</formula>
    </cfRule>
    <cfRule type="cellIs" dxfId="1187" priority="719" operator="lessThan">
      <formula>$S$12</formula>
    </cfRule>
    <cfRule type="cellIs" dxfId="1186" priority="720" operator="lessThan">
      <formula>5</formula>
    </cfRule>
  </conditionalFormatting>
  <conditionalFormatting sqref="W82">
    <cfRule type="containsBlanks" dxfId="1185" priority="712">
      <formula>LEN(TRIM(W82))=0</formula>
    </cfRule>
    <cfRule type="cellIs" dxfId="1184" priority="714" operator="greaterThan">
      <formula>0</formula>
    </cfRule>
    <cfRule type="cellIs" dxfId="1183" priority="715" operator="lessThanOrEqual">
      <formula>0</formula>
    </cfRule>
  </conditionalFormatting>
  <conditionalFormatting sqref="O83">
    <cfRule type="dataBar" priority="711">
      <dataBar>
        <cfvo type="num" val="0"/>
        <cfvo type="num" val="1"/>
        <color rgb="FF9AC7F0"/>
      </dataBar>
      <extLst>
        <ext xmlns:x14="http://schemas.microsoft.com/office/spreadsheetml/2009/9/main" uri="{B025F937-C7B1-47D3-B67F-A62EFF666E3E}">
          <x14:id>{03969906-8269-48A8-B3FC-D66C51BF5AAA}</x14:id>
        </ext>
      </extLst>
    </cfRule>
  </conditionalFormatting>
  <conditionalFormatting sqref="I82">
    <cfRule type="expression" dxfId="1182" priority="709">
      <formula>AND(J82&lt;&gt;"",J82&lt;=TODAY(),P82&lt;1,M82&lt;&gt;"Done")</formula>
    </cfRule>
  </conditionalFormatting>
  <conditionalFormatting sqref="H82">
    <cfRule type="cellIs" dxfId="1181" priority="708" operator="equal">
      <formula>"Nicht buchbar!"</formula>
    </cfRule>
  </conditionalFormatting>
  <conditionalFormatting sqref="K83">
    <cfRule type="expression" priority="700">
      <formula>IF(M83="Done",TRUE,FALSE)</formula>
    </cfRule>
    <cfRule type="cellIs" dxfId="1180" priority="702" operator="greaterThan">
      <formula>P83</formula>
    </cfRule>
    <cfRule type="dataBar" priority="707">
      <dataBar>
        <cfvo type="num" val="0"/>
        <cfvo type="num" val="1"/>
        <color rgb="FF9AC7F0"/>
      </dataBar>
      <extLst>
        <ext xmlns:x14="http://schemas.microsoft.com/office/spreadsheetml/2009/9/main" uri="{B025F937-C7B1-47D3-B67F-A62EFF666E3E}">
          <x14:id>{63A0B7A2-F173-4943-B42B-DF4B1A433646}</x14:id>
        </ext>
      </extLst>
    </cfRule>
  </conditionalFormatting>
  <conditionalFormatting sqref="K82">
    <cfRule type="dataBar" priority="705">
      <dataBar>
        <cfvo type="num" val="0"/>
        <cfvo type="num" val="1"/>
        <color rgb="FF9AC7F0"/>
      </dataBar>
      <extLst>
        <ext xmlns:x14="http://schemas.microsoft.com/office/spreadsheetml/2009/9/main" uri="{B025F937-C7B1-47D3-B67F-A62EFF666E3E}">
          <x14:id>{7E1EF9CA-F9D8-4ECE-BC14-0DF47AE2D4D0}</x14:id>
        </ext>
      </extLst>
    </cfRule>
    <cfRule type="notContainsBlanks" dxfId="1179" priority="706">
      <formula>LEN(TRIM(K82))&gt;0</formula>
    </cfRule>
  </conditionalFormatting>
  <conditionalFormatting sqref="I83">
    <cfRule type="expression" dxfId="1178" priority="704">
      <formula>AND(J83&lt;&gt;"",J83&lt;=TODAY(),P83&lt;1)</formula>
    </cfRule>
  </conditionalFormatting>
  <conditionalFormatting sqref="P83">
    <cfRule type="dataBar" priority="703">
      <dataBar>
        <cfvo type="num" val="0"/>
        <cfvo type="num" val="1"/>
        <color rgb="FF9AC7F0"/>
      </dataBar>
      <extLst>
        <ext xmlns:x14="http://schemas.microsoft.com/office/spreadsheetml/2009/9/main" uri="{B025F937-C7B1-47D3-B67F-A62EFF666E3E}">
          <x14:id>{27B3FBD0-BC5E-4C31-9CB5-BCBA349438F3}</x14:id>
        </ext>
      </extLst>
    </cfRule>
  </conditionalFormatting>
  <conditionalFormatting sqref="M83">
    <cfRule type="cellIs" dxfId="1177" priority="697" operator="lessThan">
      <formula>0</formula>
    </cfRule>
    <cfRule type="cellIs" dxfId="1176" priority="698" operator="lessThan">
      <formula>S83</formula>
    </cfRule>
    <cfRule type="cellIs" dxfId="1175" priority="699" operator="lessThan">
      <formula>5</formula>
    </cfRule>
  </conditionalFormatting>
  <conditionalFormatting sqref="M83">
    <cfRule type="cellIs" dxfId="1174" priority="696" operator="equal">
      <formula>"Done"</formula>
    </cfRule>
  </conditionalFormatting>
  <conditionalFormatting sqref="T87">
    <cfRule type="cellIs" dxfId="1173" priority="683" operator="greaterThan">
      <formula>1</formula>
    </cfRule>
    <cfRule type="dataBar" priority="690">
      <dataBar>
        <cfvo type="num" val="0"/>
        <cfvo type="num" val="1"/>
        <color rgb="FF9AC7F0"/>
      </dataBar>
      <extLst>
        <ext xmlns:x14="http://schemas.microsoft.com/office/spreadsheetml/2009/9/main" uri="{B025F937-C7B1-47D3-B67F-A62EFF666E3E}">
          <x14:id>{5C08BAAC-7B34-456F-B9F3-904DC640FEA7}</x14:id>
        </ext>
      </extLst>
    </cfRule>
  </conditionalFormatting>
  <conditionalFormatting sqref="T89">
    <cfRule type="dataBar" priority="689">
      <dataBar>
        <cfvo type="num" val="0"/>
        <cfvo type="num" val="1"/>
        <color rgb="FF9AC7F0"/>
      </dataBar>
      <extLst>
        <ext xmlns:x14="http://schemas.microsoft.com/office/spreadsheetml/2009/9/main" uri="{B025F937-C7B1-47D3-B67F-A62EFF666E3E}">
          <x14:id>{4EA42B3F-97CA-4720-9B92-7372E6DA9FFF}</x14:id>
        </ext>
      </extLst>
    </cfRule>
  </conditionalFormatting>
  <conditionalFormatting sqref="M87">
    <cfRule type="cellIs" dxfId="1172" priority="674" operator="equal">
      <formula>"Done"</formula>
    </cfRule>
    <cfRule type="cellIs" dxfId="1171" priority="691" operator="lessThan">
      <formula>0</formula>
    </cfRule>
    <cfRule type="cellIs" dxfId="1170" priority="692" operator="lessThan">
      <formula>$S$12</formula>
    </cfRule>
    <cfRule type="cellIs" dxfId="1169" priority="693" operator="lessThan">
      <formula>5</formula>
    </cfRule>
  </conditionalFormatting>
  <conditionalFormatting sqref="W87">
    <cfRule type="containsBlanks" dxfId="1168" priority="685">
      <formula>LEN(TRIM(W87))=0</formula>
    </cfRule>
    <cfRule type="cellIs" dxfId="1167" priority="687" operator="greaterThan">
      <formula>0</formula>
    </cfRule>
    <cfRule type="cellIs" dxfId="1166" priority="688" operator="lessThanOrEqual">
      <formula>0</formula>
    </cfRule>
  </conditionalFormatting>
  <conditionalFormatting sqref="O88">
    <cfRule type="dataBar" priority="684">
      <dataBar>
        <cfvo type="num" val="0"/>
        <cfvo type="num" val="1"/>
        <color rgb="FF9AC7F0"/>
      </dataBar>
      <extLst>
        <ext xmlns:x14="http://schemas.microsoft.com/office/spreadsheetml/2009/9/main" uri="{B025F937-C7B1-47D3-B67F-A62EFF666E3E}">
          <x14:id>{15273D86-84A2-4614-BED6-E453380B21E2}</x14:id>
        </ext>
      </extLst>
    </cfRule>
  </conditionalFormatting>
  <conditionalFormatting sqref="I87">
    <cfRule type="expression" dxfId="1165" priority="682">
      <formula>AND(J87&lt;&gt;"",J87&lt;=TODAY(),P87&lt;1,M87&lt;&gt;"Done")</formula>
    </cfRule>
  </conditionalFormatting>
  <conditionalFormatting sqref="H87">
    <cfRule type="cellIs" dxfId="1164" priority="681" operator="equal">
      <formula>"Nicht buchbar!"</formula>
    </cfRule>
  </conditionalFormatting>
  <conditionalFormatting sqref="K88">
    <cfRule type="expression" priority="673">
      <formula>IF(M88="Done",TRUE,FALSE)</formula>
    </cfRule>
    <cfRule type="cellIs" dxfId="1163" priority="675" operator="greaterThan">
      <formula>P88</formula>
    </cfRule>
    <cfRule type="dataBar" priority="680">
      <dataBar>
        <cfvo type="num" val="0"/>
        <cfvo type="num" val="1"/>
        <color rgb="FF9AC7F0"/>
      </dataBar>
      <extLst>
        <ext xmlns:x14="http://schemas.microsoft.com/office/spreadsheetml/2009/9/main" uri="{B025F937-C7B1-47D3-B67F-A62EFF666E3E}">
          <x14:id>{AC35E178-3A1C-4203-AA33-0BA5D68E2449}</x14:id>
        </ext>
      </extLst>
    </cfRule>
  </conditionalFormatting>
  <conditionalFormatting sqref="K87">
    <cfRule type="dataBar" priority="678">
      <dataBar>
        <cfvo type="num" val="0"/>
        <cfvo type="num" val="1"/>
        <color rgb="FF9AC7F0"/>
      </dataBar>
      <extLst>
        <ext xmlns:x14="http://schemas.microsoft.com/office/spreadsheetml/2009/9/main" uri="{B025F937-C7B1-47D3-B67F-A62EFF666E3E}">
          <x14:id>{9706CD5B-78E3-41A5-8CE2-5257260470E7}</x14:id>
        </ext>
      </extLst>
    </cfRule>
    <cfRule type="notContainsBlanks" dxfId="1162" priority="679">
      <formula>LEN(TRIM(K87))&gt;0</formula>
    </cfRule>
  </conditionalFormatting>
  <conditionalFormatting sqref="I88">
    <cfRule type="expression" dxfId="1161" priority="677">
      <formula>AND(J88&lt;&gt;"",J88&lt;=TODAY(),P88&lt;1)</formula>
    </cfRule>
  </conditionalFormatting>
  <conditionalFormatting sqref="P88">
    <cfRule type="dataBar" priority="676">
      <dataBar>
        <cfvo type="num" val="0"/>
        <cfvo type="num" val="1"/>
        <color rgb="FF9AC7F0"/>
      </dataBar>
      <extLst>
        <ext xmlns:x14="http://schemas.microsoft.com/office/spreadsheetml/2009/9/main" uri="{B025F937-C7B1-47D3-B67F-A62EFF666E3E}">
          <x14:id>{08DAC1B5-1646-4801-96E7-448F623C6B23}</x14:id>
        </ext>
      </extLst>
    </cfRule>
  </conditionalFormatting>
  <conditionalFormatting sqref="M88">
    <cfRule type="cellIs" dxfId="1160" priority="670" operator="lessThan">
      <formula>0</formula>
    </cfRule>
    <cfRule type="cellIs" dxfId="1159" priority="671" operator="lessThan">
      <formula>S88</formula>
    </cfRule>
    <cfRule type="cellIs" dxfId="1158" priority="672" operator="lessThan">
      <formula>5</formula>
    </cfRule>
  </conditionalFormatting>
  <conditionalFormatting sqref="M88">
    <cfRule type="cellIs" dxfId="1157" priority="669" operator="equal">
      <formula>"Done"</formula>
    </cfRule>
  </conditionalFormatting>
  <conditionalFormatting sqref="T92">
    <cfRule type="cellIs" dxfId="1156" priority="656" operator="greaterThan">
      <formula>1</formula>
    </cfRule>
    <cfRule type="dataBar" priority="663">
      <dataBar>
        <cfvo type="num" val="0"/>
        <cfvo type="num" val="1"/>
        <color rgb="FF9AC7F0"/>
      </dataBar>
      <extLst>
        <ext xmlns:x14="http://schemas.microsoft.com/office/spreadsheetml/2009/9/main" uri="{B025F937-C7B1-47D3-B67F-A62EFF666E3E}">
          <x14:id>{EEFDDC86-9B20-404A-8DA9-212705B4258B}</x14:id>
        </ext>
      </extLst>
    </cfRule>
  </conditionalFormatting>
  <conditionalFormatting sqref="T94">
    <cfRule type="dataBar" priority="662">
      <dataBar>
        <cfvo type="num" val="0"/>
        <cfvo type="num" val="1"/>
        <color rgb="FF9AC7F0"/>
      </dataBar>
      <extLst>
        <ext xmlns:x14="http://schemas.microsoft.com/office/spreadsheetml/2009/9/main" uri="{B025F937-C7B1-47D3-B67F-A62EFF666E3E}">
          <x14:id>{0777A7DC-DBA1-4942-9808-9058EAC823E0}</x14:id>
        </ext>
      </extLst>
    </cfRule>
  </conditionalFormatting>
  <conditionalFormatting sqref="M92">
    <cfRule type="cellIs" dxfId="1155" priority="647" operator="equal">
      <formula>"Done"</formula>
    </cfRule>
    <cfRule type="cellIs" dxfId="1154" priority="664" operator="lessThan">
      <formula>0</formula>
    </cfRule>
    <cfRule type="cellIs" dxfId="1153" priority="665" operator="lessThan">
      <formula>$S$12</formula>
    </cfRule>
    <cfRule type="cellIs" dxfId="1152" priority="666" operator="lessThan">
      <formula>5</formula>
    </cfRule>
  </conditionalFormatting>
  <conditionalFormatting sqref="W92">
    <cfRule type="containsBlanks" dxfId="1151" priority="658">
      <formula>LEN(TRIM(W92))=0</formula>
    </cfRule>
    <cfRule type="cellIs" dxfId="1150" priority="660" operator="greaterThan">
      <formula>0</formula>
    </cfRule>
    <cfRule type="cellIs" dxfId="1149" priority="661" operator="lessThanOrEqual">
      <formula>0</formula>
    </cfRule>
  </conditionalFormatting>
  <conditionalFormatting sqref="O93">
    <cfRule type="dataBar" priority="657">
      <dataBar>
        <cfvo type="num" val="0"/>
        <cfvo type="num" val="1"/>
        <color rgb="FF9AC7F0"/>
      </dataBar>
      <extLst>
        <ext xmlns:x14="http://schemas.microsoft.com/office/spreadsheetml/2009/9/main" uri="{B025F937-C7B1-47D3-B67F-A62EFF666E3E}">
          <x14:id>{863EC172-1495-48A3-8613-4599FC26F4F2}</x14:id>
        </ext>
      </extLst>
    </cfRule>
  </conditionalFormatting>
  <conditionalFormatting sqref="I92">
    <cfRule type="expression" dxfId="1148" priority="655">
      <formula>AND(J92&lt;&gt;"",J92&lt;=TODAY(),P92&lt;1,M92&lt;&gt;"Done")</formula>
    </cfRule>
  </conditionalFormatting>
  <conditionalFormatting sqref="H92">
    <cfRule type="cellIs" dxfId="1147" priority="654" operator="equal">
      <formula>"Nicht buchbar!"</formula>
    </cfRule>
  </conditionalFormatting>
  <conditionalFormatting sqref="K93">
    <cfRule type="expression" priority="646">
      <formula>IF(M93="Done",TRUE,FALSE)</formula>
    </cfRule>
    <cfRule type="cellIs" dxfId="1146" priority="648" operator="greaterThan">
      <formula>P93</formula>
    </cfRule>
    <cfRule type="dataBar" priority="653">
      <dataBar>
        <cfvo type="num" val="0"/>
        <cfvo type="num" val="1"/>
        <color rgb="FF9AC7F0"/>
      </dataBar>
      <extLst>
        <ext xmlns:x14="http://schemas.microsoft.com/office/spreadsheetml/2009/9/main" uri="{B025F937-C7B1-47D3-B67F-A62EFF666E3E}">
          <x14:id>{BB783E4D-681F-41E6-BDE5-8516A802CFCF}</x14:id>
        </ext>
      </extLst>
    </cfRule>
  </conditionalFormatting>
  <conditionalFormatting sqref="K92">
    <cfRule type="dataBar" priority="651">
      <dataBar>
        <cfvo type="num" val="0"/>
        <cfvo type="num" val="1"/>
        <color rgb="FF9AC7F0"/>
      </dataBar>
      <extLst>
        <ext xmlns:x14="http://schemas.microsoft.com/office/spreadsheetml/2009/9/main" uri="{B025F937-C7B1-47D3-B67F-A62EFF666E3E}">
          <x14:id>{32668D63-0AE1-4C73-AFD7-2FBDFE18C4D4}</x14:id>
        </ext>
      </extLst>
    </cfRule>
    <cfRule type="notContainsBlanks" dxfId="1145" priority="652">
      <formula>LEN(TRIM(K92))&gt;0</formula>
    </cfRule>
  </conditionalFormatting>
  <conditionalFormatting sqref="I93">
    <cfRule type="expression" dxfId="1144" priority="650">
      <formula>AND(J93&lt;&gt;"",J93&lt;=TODAY(),P93&lt;1)</formula>
    </cfRule>
  </conditionalFormatting>
  <conditionalFormatting sqref="P93">
    <cfRule type="dataBar" priority="649">
      <dataBar>
        <cfvo type="num" val="0"/>
        <cfvo type="num" val="1"/>
        <color rgb="FF9AC7F0"/>
      </dataBar>
      <extLst>
        <ext xmlns:x14="http://schemas.microsoft.com/office/spreadsheetml/2009/9/main" uri="{B025F937-C7B1-47D3-B67F-A62EFF666E3E}">
          <x14:id>{D99499ED-DB28-4BDA-BD1E-91A5A6154505}</x14:id>
        </ext>
      </extLst>
    </cfRule>
  </conditionalFormatting>
  <conditionalFormatting sqref="M93">
    <cfRule type="cellIs" dxfId="1143" priority="643" operator="lessThan">
      <formula>0</formula>
    </cfRule>
    <cfRule type="cellIs" dxfId="1142" priority="644" operator="lessThan">
      <formula>S93</formula>
    </cfRule>
    <cfRule type="cellIs" dxfId="1141" priority="645" operator="lessThan">
      <formula>5</formula>
    </cfRule>
  </conditionalFormatting>
  <conditionalFormatting sqref="M93">
    <cfRule type="cellIs" dxfId="1140" priority="642" operator="equal">
      <formula>"Done"</formula>
    </cfRule>
  </conditionalFormatting>
  <conditionalFormatting sqref="T97">
    <cfRule type="cellIs" dxfId="1139" priority="629" operator="greaterThan">
      <formula>1</formula>
    </cfRule>
    <cfRule type="dataBar" priority="636">
      <dataBar>
        <cfvo type="num" val="0"/>
        <cfvo type="num" val="1"/>
        <color rgb="FF9AC7F0"/>
      </dataBar>
      <extLst>
        <ext xmlns:x14="http://schemas.microsoft.com/office/spreadsheetml/2009/9/main" uri="{B025F937-C7B1-47D3-B67F-A62EFF666E3E}">
          <x14:id>{081548F1-D97A-463B-9D57-1680B7061CB4}</x14:id>
        </ext>
      </extLst>
    </cfRule>
  </conditionalFormatting>
  <conditionalFormatting sqref="T99">
    <cfRule type="dataBar" priority="635">
      <dataBar>
        <cfvo type="num" val="0"/>
        <cfvo type="num" val="1"/>
        <color rgb="FF9AC7F0"/>
      </dataBar>
      <extLst>
        <ext xmlns:x14="http://schemas.microsoft.com/office/spreadsheetml/2009/9/main" uri="{B025F937-C7B1-47D3-B67F-A62EFF666E3E}">
          <x14:id>{CAA3166A-E225-4C35-BE77-4E9FA409D447}</x14:id>
        </ext>
      </extLst>
    </cfRule>
  </conditionalFormatting>
  <conditionalFormatting sqref="M97">
    <cfRule type="cellIs" dxfId="1138" priority="620" operator="equal">
      <formula>"Done"</formula>
    </cfRule>
    <cfRule type="cellIs" dxfId="1137" priority="637" operator="lessThan">
      <formula>0</formula>
    </cfRule>
    <cfRule type="cellIs" dxfId="1136" priority="638" operator="lessThan">
      <formula>$S$12</formula>
    </cfRule>
    <cfRule type="cellIs" dxfId="1135" priority="639" operator="lessThan">
      <formula>5</formula>
    </cfRule>
  </conditionalFormatting>
  <conditionalFormatting sqref="W97">
    <cfRule type="containsBlanks" dxfId="1134" priority="631">
      <formula>LEN(TRIM(W97))=0</formula>
    </cfRule>
    <cfRule type="cellIs" dxfId="1133" priority="633" operator="greaterThan">
      <formula>0</formula>
    </cfRule>
    <cfRule type="cellIs" dxfId="1132" priority="634" operator="lessThanOrEqual">
      <formula>0</formula>
    </cfRule>
  </conditionalFormatting>
  <conditionalFormatting sqref="O98">
    <cfRule type="dataBar" priority="630">
      <dataBar>
        <cfvo type="num" val="0"/>
        <cfvo type="num" val="1"/>
        <color rgb="FF9AC7F0"/>
      </dataBar>
      <extLst>
        <ext xmlns:x14="http://schemas.microsoft.com/office/spreadsheetml/2009/9/main" uri="{B025F937-C7B1-47D3-B67F-A62EFF666E3E}">
          <x14:id>{400713DF-A89E-459E-A925-76E49CD938CD}</x14:id>
        </ext>
      </extLst>
    </cfRule>
  </conditionalFormatting>
  <conditionalFormatting sqref="I97">
    <cfRule type="expression" dxfId="1131" priority="628">
      <formula>AND(J97&lt;&gt;"",J97&lt;=TODAY(),P97&lt;1,M97&lt;&gt;"Done")</formula>
    </cfRule>
  </conditionalFormatting>
  <conditionalFormatting sqref="H97">
    <cfRule type="cellIs" dxfId="1130" priority="627" operator="equal">
      <formula>"Nicht buchbar!"</formula>
    </cfRule>
  </conditionalFormatting>
  <conditionalFormatting sqref="K98">
    <cfRule type="expression" priority="619">
      <formula>IF(M98="Done",TRUE,FALSE)</formula>
    </cfRule>
    <cfRule type="cellIs" dxfId="1129" priority="621" operator="greaterThan">
      <formula>P98</formula>
    </cfRule>
    <cfRule type="dataBar" priority="626">
      <dataBar>
        <cfvo type="num" val="0"/>
        <cfvo type="num" val="1"/>
        <color rgb="FF9AC7F0"/>
      </dataBar>
      <extLst>
        <ext xmlns:x14="http://schemas.microsoft.com/office/spreadsheetml/2009/9/main" uri="{B025F937-C7B1-47D3-B67F-A62EFF666E3E}">
          <x14:id>{DBB793E7-9C50-4BFA-8CC4-AE066CAE728D}</x14:id>
        </ext>
      </extLst>
    </cfRule>
  </conditionalFormatting>
  <conditionalFormatting sqref="K97">
    <cfRule type="dataBar" priority="624">
      <dataBar>
        <cfvo type="num" val="0"/>
        <cfvo type="num" val="1"/>
        <color rgb="FF9AC7F0"/>
      </dataBar>
      <extLst>
        <ext xmlns:x14="http://schemas.microsoft.com/office/spreadsheetml/2009/9/main" uri="{B025F937-C7B1-47D3-B67F-A62EFF666E3E}">
          <x14:id>{CB22DEA3-9283-4BD8-B9C1-C95BF8D828A0}</x14:id>
        </ext>
      </extLst>
    </cfRule>
    <cfRule type="notContainsBlanks" dxfId="1128" priority="625">
      <formula>LEN(TRIM(K97))&gt;0</formula>
    </cfRule>
  </conditionalFormatting>
  <conditionalFormatting sqref="I98">
    <cfRule type="expression" dxfId="1127" priority="623">
      <formula>AND(J98&lt;&gt;"",J98&lt;=TODAY(),P98&lt;1)</formula>
    </cfRule>
  </conditionalFormatting>
  <conditionalFormatting sqref="P98">
    <cfRule type="dataBar" priority="622">
      <dataBar>
        <cfvo type="num" val="0"/>
        <cfvo type="num" val="1"/>
        <color rgb="FF9AC7F0"/>
      </dataBar>
      <extLst>
        <ext xmlns:x14="http://schemas.microsoft.com/office/spreadsheetml/2009/9/main" uri="{B025F937-C7B1-47D3-B67F-A62EFF666E3E}">
          <x14:id>{626E3BD5-FE2F-4823-AF4A-69FB069AB3C2}</x14:id>
        </ext>
      </extLst>
    </cfRule>
  </conditionalFormatting>
  <conditionalFormatting sqref="M98">
    <cfRule type="cellIs" dxfId="1126" priority="616" operator="lessThan">
      <formula>0</formula>
    </cfRule>
    <cfRule type="cellIs" dxfId="1125" priority="617" operator="lessThan">
      <formula>S98</formula>
    </cfRule>
    <cfRule type="cellIs" dxfId="1124" priority="618" operator="lessThan">
      <formula>5</formula>
    </cfRule>
  </conditionalFormatting>
  <conditionalFormatting sqref="M98">
    <cfRule type="cellIs" dxfId="1123" priority="615" operator="equal">
      <formula>"Done"</formula>
    </cfRule>
  </conditionalFormatting>
  <conditionalFormatting sqref="T102">
    <cfRule type="cellIs" dxfId="1122" priority="602" operator="greaterThan">
      <formula>1</formula>
    </cfRule>
    <cfRule type="dataBar" priority="609">
      <dataBar>
        <cfvo type="num" val="0"/>
        <cfvo type="num" val="1"/>
        <color rgb="FF9AC7F0"/>
      </dataBar>
      <extLst>
        <ext xmlns:x14="http://schemas.microsoft.com/office/spreadsheetml/2009/9/main" uri="{B025F937-C7B1-47D3-B67F-A62EFF666E3E}">
          <x14:id>{BE374E5D-003A-4F9E-9AE1-55A715E09EAD}</x14:id>
        </ext>
      </extLst>
    </cfRule>
  </conditionalFormatting>
  <conditionalFormatting sqref="T104">
    <cfRule type="dataBar" priority="608">
      <dataBar>
        <cfvo type="num" val="0"/>
        <cfvo type="num" val="1"/>
        <color rgb="FF9AC7F0"/>
      </dataBar>
      <extLst>
        <ext xmlns:x14="http://schemas.microsoft.com/office/spreadsheetml/2009/9/main" uri="{B025F937-C7B1-47D3-B67F-A62EFF666E3E}">
          <x14:id>{4732F0BE-EEA1-4C65-A5FF-1EB1619F5094}</x14:id>
        </ext>
      </extLst>
    </cfRule>
  </conditionalFormatting>
  <conditionalFormatting sqref="M102">
    <cfRule type="cellIs" dxfId="1121" priority="593" operator="equal">
      <formula>"Done"</formula>
    </cfRule>
    <cfRule type="cellIs" dxfId="1120" priority="610" operator="lessThan">
      <formula>0</formula>
    </cfRule>
    <cfRule type="cellIs" dxfId="1119" priority="611" operator="lessThan">
      <formula>$S$12</formula>
    </cfRule>
    <cfRule type="cellIs" dxfId="1118" priority="612" operator="lessThan">
      <formula>5</formula>
    </cfRule>
  </conditionalFormatting>
  <conditionalFormatting sqref="W102">
    <cfRule type="containsBlanks" dxfId="1117" priority="604">
      <formula>LEN(TRIM(W102))=0</formula>
    </cfRule>
    <cfRule type="cellIs" dxfId="1116" priority="606" operator="greaterThan">
      <formula>0</formula>
    </cfRule>
    <cfRule type="cellIs" dxfId="1115" priority="607" operator="lessThanOrEqual">
      <formula>0</formula>
    </cfRule>
  </conditionalFormatting>
  <conditionalFormatting sqref="O103">
    <cfRule type="dataBar" priority="603">
      <dataBar>
        <cfvo type="num" val="0"/>
        <cfvo type="num" val="1"/>
        <color rgb="FF9AC7F0"/>
      </dataBar>
      <extLst>
        <ext xmlns:x14="http://schemas.microsoft.com/office/spreadsheetml/2009/9/main" uri="{B025F937-C7B1-47D3-B67F-A62EFF666E3E}">
          <x14:id>{0EA12486-DA7A-45A7-ABAC-9A501329A552}</x14:id>
        </ext>
      </extLst>
    </cfRule>
  </conditionalFormatting>
  <conditionalFormatting sqref="I102">
    <cfRule type="expression" dxfId="1114" priority="601">
      <formula>AND(J102&lt;&gt;"",J102&lt;=TODAY(),P102&lt;1,M102&lt;&gt;"Done")</formula>
    </cfRule>
  </conditionalFormatting>
  <conditionalFormatting sqref="H102">
    <cfRule type="cellIs" dxfId="1113" priority="600" operator="equal">
      <formula>"Nicht buchbar!"</formula>
    </cfRule>
  </conditionalFormatting>
  <conditionalFormatting sqref="K103">
    <cfRule type="expression" priority="592">
      <formula>IF(M103="Done",TRUE,FALSE)</formula>
    </cfRule>
    <cfRule type="cellIs" dxfId="1112" priority="594" operator="greaterThan">
      <formula>P103</formula>
    </cfRule>
    <cfRule type="dataBar" priority="599">
      <dataBar>
        <cfvo type="num" val="0"/>
        <cfvo type="num" val="1"/>
        <color rgb="FF9AC7F0"/>
      </dataBar>
      <extLst>
        <ext xmlns:x14="http://schemas.microsoft.com/office/spreadsheetml/2009/9/main" uri="{B025F937-C7B1-47D3-B67F-A62EFF666E3E}">
          <x14:id>{49054EA2-9370-4CFB-A4DD-51EFE69E5A5D}</x14:id>
        </ext>
      </extLst>
    </cfRule>
  </conditionalFormatting>
  <conditionalFormatting sqref="K102">
    <cfRule type="dataBar" priority="597">
      <dataBar>
        <cfvo type="num" val="0"/>
        <cfvo type="num" val="1"/>
        <color rgb="FF9AC7F0"/>
      </dataBar>
      <extLst>
        <ext xmlns:x14="http://schemas.microsoft.com/office/spreadsheetml/2009/9/main" uri="{B025F937-C7B1-47D3-B67F-A62EFF666E3E}">
          <x14:id>{5FCBA8CB-39AA-4619-8D7E-1DF3EDB45173}</x14:id>
        </ext>
      </extLst>
    </cfRule>
    <cfRule type="notContainsBlanks" dxfId="1111" priority="598">
      <formula>LEN(TRIM(K102))&gt;0</formula>
    </cfRule>
  </conditionalFormatting>
  <conditionalFormatting sqref="I103">
    <cfRule type="expression" dxfId="1110" priority="596">
      <formula>AND(J103&lt;&gt;"",J103&lt;=TODAY(),P103&lt;1)</formula>
    </cfRule>
  </conditionalFormatting>
  <conditionalFormatting sqref="P103">
    <cfRule type="dataBar" priority="595">
      <dataBar>
        <cfvo type="num" val="0"/>
        <cfvo type="num" val="1"/>
        <color rgb="FF9AC7F0"/>
      </dataBar>
      <extLst>
        <ext xmlns:x14="http://schemas.microsoft.com/office/spreadsheetml/2009/9/main" uri="{B025F937-C7B1-47D3-B67F-A62EFF666E3E}">
          <x14:id>{6B67E02F-234D-4DE3-8A17-320DDFB3717E}</x14:id>
        </ext>
      </extLst>
    </cfRule>
  </conditionalFormatting>
  <conditionalFormatting sqref="M103">
    <cfRule type="cellIs" dxfId="1109" priority="589" operator="lessThan">
      <formula>0</formula>
    </cfRule>
    <cfRule type="cellIs" dxfId="1108" priority="590" operator="lessThan">
      <formula>S103</formula>
    </cfRule>
    <cfRule type="cellIs" dxfId="1107" priority="591" operator="lessThan">
      <formula>5</formula>
    </cfRule>
  </conditionalFormatting>
  <conditionalFormatting sqref="M103">
    <cfRule type="cellIs" dxfId="1106" priority="588" operator="equal">
      <formula>"Done"</formula>
    </cfRule>
  </conditionalFormatting>
  <conditionalFormatting sqref="T17">
    <cfRule type="cellIs" dxfId="1105" priority="575" operator="greaterThan">
      <formula>1</formula>
    </cfRule>
    <cfRule type="dataBar" priority="582">
      <dataBar>
        <cfvo type="num" val="0"/>
        <cfvo type="num" val="1"/>
        <color rgb="FF9AC7F0"/>
      </dataBar>
      <extLst>
        <ext xmlns:x14="http://schemas.microsoft.com/office/spreadsheetml/2009/9/main" uri="{B025F937-C7B1-47D3-B67F-A62EFF666E3E}">
          <x14:id>{2EF170DF-F51D-4BD5-B77C-6FA056E1A7E9}</x14:id>
        </ext>
      </extLst>
    </cfRule>
  </conditionalFormatting>
  <conditionalFormatting sqref="T19">
    <cfRule type="dataBar" priority="581">
      <dataBar>
        <cfvo type="num" val="0"/>
        <cfvo type="num" val="1"/>
        <color rgb="FF9AC7F0"/>
      </dataBar>
      <extLst>
        <ext xmlns:x14="http://schemas.microsoft.com/office/spreadsheetml/2009/9/main" uri="{B025F937-C7B1-47D3-B67F-A62EFF666E3E}">
          <x14:id>{4424CB82-112C-41CE-90E8-DC22D673B895}</x14:id>
        </ext>
      </extLst>
    </cfRule>
  </conditionalFormatting>
  <conditionalFormatting sqref="M17">
    <cfRule type="cellIs" dxfId="1104" priority="566" operator="equal">
      <formula>"Done"</formula>
    </cfRule>
    <cfRule type="cellIs" dxfId="1103" priority="583" operator="lessThan">
      <formula>0</formula>
    </cfRule>
    <cfRule type="cellIs" dxfId="1102" priority="584" operator="lessThan">
      <formula>$S$12</formula>
    </cfRule>
    <cfRule type="cellIs" dxfId="1101" priority="585" operator="lessThan">
      <formula>5</formula>
    </cfRule>
  </conditionalFormatting>
  <conditionalFormatting sqref="W17">
    <cfRule type="containsBlanks" dxfId="1100" priority="577">
      <formula>LEN(TRIM(W17))=0</formula>
    </cfRule>
    <cfRule type="cellIs" dxfId="1099" priority="579" operator="greaterThan">
      <formula>0</formula>
    </cfRule>
    <cfRule type="cellIs" dxfId="1098" priority="580" operator="lessThanOrEqual">
      <formula>0</formula>
    </cfRule>
  </conditionalFormatting>
  <conditionalFormatting sqref="O18">
    <cfRule type="dataBar" priority="576">
      <dataBar>
        <cfvo type="num" val="0"/>
        <cfvo type="num" val="1"/>
        <color rgb="FF9AC7F0"/>
      </dataBar>
      <extLst>
        <ext xmlns:x14="http://schemas.microsoft.com/office/spreadsheetml/2009/9/main" uri="{B025F937-C7B1-47D3-B67F-A62EFF666E3E}">
          <x14:id>{D3986ACB-AFD7-4B4B-9FD2-A7D501F0B1A7}</x14:id>
        </ext>
      </extLst>
    </cfRule>
  </conditionalFormatting>
  <conditionalFormatting sqref="I17">
    <cfRule type="expression" dxfId="1097" priority="574">
      <formula>AND(J17&lt;&gt;"",J17&lt;=TODAY(),P17&lt;1,M17&lt;&gt;"Done")</formula>
    </cfRule>
  </conditionalFormatting>
  <conditionalFormatting sqref="H17">
    <cfRule type="cellIs" dxfId="1096" priority="573" operator="equal">
      <formula>"Nicht buchbar!"</formula>
    </cfRule>
  </conditionalFormatting>
  <conditionalFormatting sqref="K18">
    <cfRule type="expression" priority="565">
      <formula>IF(M18="Done",TRUE,FALSE)</formula>
    </cfRule>
    <cfRule type="cellIs" dxfId="1095" priority="567" operator="greaterThan">
      <formula>P18</formula>
    </cfRule>
    <cfRule type="dataBar" priority="572">
      <dataBar>
        <cfvo type="num" val="0"/>
        <cfvo type="num" val="1"/>
        <color rgb="FF9AC7F0"/>
      </dataBar>
      <extLst>
        <ext xmlns:x14="http://schemas.microsoft.com/office/spreadsheetml/2009/9/main" uri="{B025F937-C7B1-47D3-B67F-A62EFF666E3E}">
          <x14:id>{BF26FCA2-EEC6-4028-9BB8-CE2F07A6E465}</x14:id>
        </ext>
      </extLst>
    </cfRule>
  </conditionalFormatting>
  <conditionalFormatting sqref="K17">
    <cfRule type="dataBar" priority="570">
      <dataBar>
        <cfvo type="num" val="0"/>
        <cfvo type="num" val="1"/>
        <color rgb="FF9AC7F0"/>
      </dataBar>
      <extLst>
        <ext xmlns:x14="http://schemas.microsoft.com/office/spreadsheetml/2009/9/main" uri="{B025F937-C7B1-47D3-B67F-A62EFF666E3E}">
          <x14:id>{73FC7BD9-F261-425F-9E92-369AB9AB8B46}</x14:id>
        </ext>
      </extLst>
    </cfRule>
    <cfRule type="notContainsBlanks" dxfId="1094" priority="571">
      <formula>LEN(TRIM(K17))&gt;0</formula>
    </cfRule>
  </conditionalFormatting>
  <conditionalFormatting sqref="I18">
    <cfRule type="expression" dxfId="1093" priority="569">
      <formula>AND(J18&lt;&gt;"",J18&lt;=TODAY(),P18&lt;1)</formula>
    </cfRule>
  </conditionalFormatting>
  <conditionalFormatting sqref="P18">
    <cfRule type="dataBar" priority="568">
      <dataBar>
        <cfvo type="num" val="0"/>
        <cfvo type="num" val="1"/>
        <color rgb="FF9AC7F0"/>
      </dataBar>
      <extLst>
        <ext xmlns:x14="http://schemas.microsoft.com/office/spreadsheetml/2009/9/main" uri="{B025F937-C7B1-47D3-B67F-A62EFF666E3E}">
          <x14:id>{C014A8FA-B10D-4E08-8D88-D5A83C21CC30}</x14:id>
        </ext>
      </extLst>
    </cfRule>
  </conditionalFormatting>
  <conditionalFormatting sqref="M18">
    <cfRule type="cellIs" dxfId="1092" priority="562" operator="lessThan">
      <formula>0</formula>
    </cfRule>
    <cfRule type="cellIs" dxfId="1091" priority="563" operator="lessThan">
      <formula>S18</formula>
    </cfRule>
    <cfRule type="cellIs" dxfId="1090" priority="564" operator="lessThan">
      <formula>5</formula>
    </cfRule>
  </conditionalFormatting>
  <conditionalFormatting sqref="M18">
    <cfRule type="cellIs" dxfId="1089" priority="561" operator="equal">
      <formula>"Done"</formula>
    </cfRule>
  </conditionalFormatting>
  <conditionalFormatting sqref="T107">
    <cfRule type="cellIs" dxfId="1088" priority="548" operator="greaterThan">
      <formula>1</formula>
    </cfRule>
    <cfRule type="dataBar" priority="555">
      <dataBar>
        <cfvo type="num" val="0"/>
        <cfvo type="num" val="1"/>
        <color rgb="FF9AC7F0"/>
      </dataBar>
      <extLst>
        <ext xmlns:x14="http://schemas.microsoft.com/office/spreadsheetml/2009/9/main" uri="{B025F937-C7B1-47D3-B67F-A62EFF666E3E}">
          <x14:id>{B6E9B142-2994-45C4-8F28-424A0DD22A53}</x14:id>
        </ext>
      </extLst>
    </cfRule>
  </conditionalFormatting>
  <conditionalFormatting sqref="T109">
    <cfRule type="dataBar" priority="554">
      <dataBar>
        <cfvo type="num" val="0"/>
        <cfvo type="num" val="1"/>
        <color rgb="FF9AC7F0"/>
      </dataBar>
      <extLst>
        <ext xmlns:x14="http://schemas.microsoft.com/office/spreadsheetml/2009/9/main" uri="{B025F937-C7B1-47D3-B67F-A62EFF666E3E}">
          <x14:id>{85C4B713-CCCE-4307-B5BD-A4082F6A47F3}</x14:id>
        </ext>
      </extLst>
    </cfRule>
  </conditionalFormatting>
  <conditionalFormatting sqref="M107">
    <cfRule type="cellIs" dxfId="1087" priority="539" operator="equal">
      <formula>"Done"</formula>
    </cfRule>
    <cfRule type="cellIs" dxfId="1086" priority="556" operator="lessThan">
      <formula>0</formula>
    </cfRule>
    <cfRule type="cellIs" dxfId="1085" priority="557" operator="lessThan">
      <formula>$S$12</formula>
    </cfRule>
    <cfRule type="cellIs" dxfId="1084" priority="558" operator="lessThan">
      <formula>5</formula>
    </cfRule>
  </conditionalFormatting>
  <conditionalFormatting sqref="W107">
    <cfRule type="containsBlanks" dxfId="1083" priority="550">
      <formula>LEN(TRIM(W107))=0</formula>
    </cfRule>
    <cfRule type="cellIs" dxfId="1082" priority="552" operator="greaterThan">
      <formula>0</formula>
    </cfRule>
    <cfRule type="cellIs" dxfId="1081" priority="553" operator="lessThanOrEqual">
      <formula>0</formula>
    </cfRule>
  </conditionalFormatting>
  <conditionalFormatting sqref="O108">
    <cfRule type="dataBar" priority="549">
      <dataBar>
        <cfvo type="num" val="0"/>
        <cfvo type="num" val="1"/>
        <color rgb="FF9AC7F0"/>
      </dataBar>
      <extLst>
        <ext xmlns:x14="http://schemas.microsoft.com/office/spreadsheetml/2009/9/main" uri="{B025F937-C7B1-47D3-B67F-A62EFF666E3E}">
          <x14:id>{6C09E7BE-C47B-42A7-8D17-C6BAAB152757}</x14:id>
        </ext>
      </extLst>
    </cfRule>
  </conditionalFormatting>
  <conditionalFormatting sqref="I107">
    <cfRule type="expression" dxfId="1080" priority="547">
      <formula>AND(J107&lt;&gt;"",J107&lt;=TODAY(),P107&lt;1,M107&lt;&gt;"Done")</formula>
    </cfRule>
  </conditionalFormatting>
  <conditionalFormatting sqref="H107">
    <cfRule type="cellIs" dxfId="1079" priority="546" operator="equal">
      <formula>"Nicht buchbar!"</formula>
    </cfRule>
  </conditionalFormatting>
  <conditionalFormatting sqref="K108">
    <cfRule type="expression" priority="538">
      <formula>IF(M108="Done",TRUE,FALSE)</formula>
    </cfRule>
    <cfRule type="cellIs" dxfId="1078" priority="540" operator="greaterThan">
      <formula>P108</formula>
    </cfRule>
    <cfRule type="dataBar" priority="545">
      <dataBar>
        <cfvo type="num" val="0"/>
        <cfvo type="num" val="1"/>
        <color rgb="FF9AC7F0"/>
      </dataBar>
      <extLst>
        <ext xmlns:x14="http://schemas.microsoft.com/office/spreadsheetml/2009/9/main" uri="{B025F937-C7B1-47D3-B67F-A62EFF666E3E}">
          <x14:id>{776DA23A-ED85-48C0-9184-76A4C397C115}</x14:id>
        </ext>
      </extLst>
    </cfRule>
  </conditionalFormatting>
  <conditionalFormatting sqref="K107">
    <cfRule type="dataBar" priority="543">
      <dataBar>
        <cfvo type="num" val="0"/>
        <cfvo type="num" val="1"/>
        <color rgb="FF9AC7F0"/>
      </dataBar>
      <extLst>
        <ext xmlns:x14="http://schemas.microsoft.com/office/spreadsheetml/2009/9/main" uri="{B025F937-C7B1-47D3-B67F-A62EFF666E3E}">
          <x14:id>{A5E0BFFA-654E-4A30-A7D2-43958BA6292C}</x14:id>
        </ext>
      </extLst>
    </cfRule>
    <cfRule type="notContainsBlanks" dxfId="1077" priority="544">
      <formula>LEN(TRIM(K107))&gt;0</formula>
    </cfRule>
  </conditionalFormatting>
  <conditionalFormatting sqref="I108">
    <cfRule type="expression" dxfId="1076" priority="542">
      <formula>AND(J108&lt;&gt;"",J108&lt;=TODAY(),P108&lt;1)</formula>
    </cfRule>
  </conditionalFormatting>
  <conditionalFormatting sqref="P108">
    <cfRule type="dataBar" priority="541">
      <dataBar>
        <cfvo type="num" val="0"/>
        <cfvo type="num" val="1"/>
        <color rgb="FF9AC7F0"/>
      </dataBar>
      <extLst>
        <ext xmlns:x14="http://schemas.microsoft.com/office/spreadsheetml/2009/9/main" uri="{B025F937-C7B1-47D3-B67F-A62EFF666E3E}">
          <x14:id>{B1F19C53-1773-4065-A63D-02F93EA24E8D}</x14:id>
        </ext>
      </extLst>
    </cfRule>
  </conditionalFormatting>
  <conditionalFormatting sqref="M108">
    <cfRule type="cellIs" dxfId="1075" priority="535" operator="lessThan">
      <formula>0</formula>
    </cfRule>
    <cfRule type="cellIs" dxfId="1074" priority="536" operator="lessThan">
      <formula>S108</formula>
    </cfRule>
    <cfRule type="cellIs" dxfId="1073" priority="537" operator="lessThan">
      <formula>5</formula>
    </cfRule>
  </conditionalFormatting>
  <conditionalFormatting sqref="M108">
    <cfRule type="cellIs" dxfId="1072" priority="534" operator="equal">
      <formula>"Done"</formula>
    </cfRule>
  </conditionalFormatting>
  <conditionalFormatting sqref="T112">
    <cfRule type="cellIs" dxfId="1071" priority="521" operator="greaterThan">
      <formula>1</formula>
    </cfRule>
    <cfRule type="dataBar" priority="528">
      <dataBar>
        <cfvo type="num" val="0"/>
        <cfvo type="num" val="1"/>
        <color rgb="FF9AC7F0"/>
      </dataBar>
      <extLst>
        <ext xmlns:x14="http://schemas.microsoft.com/office/spreadsheetml/2009/9/main" uri="{B025F937-C7B1-47D3-B67F-A62EFF666E3E}">
          <x14:id>{940E13D6-A0B9-45D0-BFF8-953EA8511E1F}</x14:id>
        </ext>
      </extLst>
    </cfRule>
  </conditionalFormatting>
  <conditionalFormatting sqref="T114">
    <cfRule type="dataBar" priority="527">
      <dataBar>
        <cfvo type="num" val="0"/>
        <cfvo type="num" val="1"/>
        <color rgb="FF9AC7F0"/>
      </dataBar>
      <extLst>
        <ext xmlns:x14="http://schemas.microsoft.com/office/spreadsheetml/2009/9/main" uri="{B025F937-C7B1-47D3-B67F-A62EFF666E3E}">
          <x14:id>{2AA2DCAE-BEB9-499A-A082-0ED9A85DD80B}</x14:id>
        </ext>
      </extLst>
    </cfRule>
  </conditionalFormatting>
  <conditionalFormatting sqref="M112">
    <cfRule type="cellIs" dxfId="1070" priority="512" operator="equal">
      <formula>"Done"</formula>
    </cfRule>
    <cfRule type="cellIs" dxfId="1069" priority="529" operator="lessThan">
      <formula>0</formula>
    </cfRule>
    <cfRule type="cellIs" dxfId="1068" priority="530" operator="lessThan">
      <formula>$S$12</formula>
    </cfRule>
    <cfRule type="cellIs" dxfId="1067" priority="531" operator="lessThan">
      <formula>5</formula>
    </cfRule>
  </conditionalFormatting>
  <conditionalFormatting sqref="W112">
    <cfRule type="containsBlanks" dxfId="1066" priority="523">
      <formula>LEN(TRIM(W112))=0</formula>
    </cfRule>
    <cfRule type="cellIs" dxfId="1065" priority="525" operator="greaterThan">
      <formula>0</formula>
    </cfRule>
    <cfRule type="cellIs" dxfId="1064" priority="526" operator="lessThanOrEqual">
      <formula>0</formula>
    </cfRule>
  </conditionalFormatting>
  <conditionalFormatting sqref="O113">
    <cfRule type="dataBar" priority="522">
      <dataBar>
        <cfvo type="num" val="0"/>
        <cfvo type="num" val="1"/>
        <color rgb="FF9AC7F0"/>
      </dataBar>
      <extLst>
        <ext xmlns:x14="http://schemas.microsoft.com/office/spreadsheetml/2009/9/main" uri="{B025F937-C7B1-47D3-B67F-A62EFF666E3E}">
          <x14:id>{3172290A-C994-42BB-ADFF-7464FD2E2552}</x14:id>
        </ext>
      </extLst>
    </cfRule>
  </conditionalFormatting>
  <conditionalFormatting sqref="I112">
    <cfRule type="expression" dxfId="1063" priority="520">
      <formula>AND(J112&lt;&gt;"",J112&lt;=TODAY(),P112&lt;1,M112&lt;&gt;"Done")</formula>
    </cfRule>
  </conditionalFormatting>
  <conditionalFormatting sqref="H112">
    <cfRule type="cellIs" dxfId="1062" priority="519" operator="equal">
      <formula>"Nicht buchbar!"</formula>
    </cfRule>
  </conditionalFormatting>
  <conditionalFormatting sqref="K113">
    <cfRule type="expression" priority="511">
      <formula>IF(M113="Done",TRUE,FALSE)</formula>
    </cfRule>
    <cfRule type="cellIs" dxfId="1061" priority="513" operator="greaterThan">
      <formula>P113</formula>
    </cfRule>
    <cfRule type="dataBar" priority="518">
      <dataBar>
        <cfvo type="num" val="0"/>
        <cfvo type="num" val="1"/>
        <color rgb="FF9AC7F0"/>
      </dataBar>
      <extLst>
        <ext xmlns:x14="http://schemas.microsoft.com/office/spreadsheetml/2009/9/main" uri="{B025F937-C7B1-47D3-B67F-A62EFF666E3E}">
          <x14:id>{8E93CB99-99C5-4013-BF48-254F7BE2DB01}</x14:id>
        </ext>
      </extLst>
    </cfRule>
  </conditionalFormatting>
  <conditionalFormatting sqref="K112">
    <cfRule type="dataBar" priority="516">
      <dataBar>
        <cfvo type="num" val="0"/>
        <cfvo type="num" val="1"/>
        <color rgb="FF9AC7F0"/>
      </dataBar>
      <extLst>
        <ext xmlns:x14="http://schemas.microsoft.com/office/spreadsheetml/2009/9/main" uri="{B025F937-C7B1-47D3-B67F-A62EFF666E3E}">
          <x14:id>{B71F5202-02A7-4E74-A1CB-BB2CCA6AA9B5}</x14:id>
        </ext>
      </extLst>
    </cfRule>
    <cfRule type="notContainsBlanks" dxfId="1060" priority="517">
      <formula>LEN(TRIM(K112))&gt;0</formula>
    </cfRule>
  </conditionalFormatting>
  <conditionalFormatting sqref="I113">
    <cfRule type="expression" dxfId="1059" priority="515">
      <formula>AND(J113&lt;&gt;"",J113&lt;=TODAY(),P113&lt;1)</formula>
    </cfRule>
  </conditionalFormatting>
  <conditionalFormatting sqref="P113">
    <cfRule type="dataBar" priority="514">
      <dataBar>
        <cfvo type="num" val="0"/>
        <cfvo type="num" val="1"/>
        <color rgb="FF9AC7F0"/>
      </dataBar>
      <extLst>
        <ext xmlns:x14="http://schemas.microsoft.com/office/spreadsheetml/2009/9/main" uri="{B025F937-C7B1-47D3-B67F-A62EFF666E3E}">
          <x14:id>{D115229B-1E1B-43AC-8E67-8BFDEA6CA649}</x14:id>
        </ext>
      </extLst>
    </cfRule>
  </conditionalFormatting>
  <conditionalFormatting sqref="M113">
    <cfRule type="cellIs" dxfId="1058" priority="508" operator="lessThan">
      <formula>0</formula>
    </cfRule>
    <cfRule type="cellIs" dxfId="1057" priority="509" operator="lessThan">
      <formula>S113</formula>
    </cfRule>
    <cfRule type="cellIs" dxfId="1056" priority="510" operator="lessThan">
      <formula>5</formula>
    </cfRule>
  </conditionalFormatting>
  <conditionalFormatting sqref="M113">
    <cfRule type="cellIs" dxfId="1055" priority="507" operator="equal">
      <formula>"Done"</formula>
    </cfRule>
  </conditionalFormatting>
  <conditionalFormatting sqref="T117">
    <cfRule type="cellIs" dxfId="1054" priority="494" operator="greaterThan">
      <formula>1</formula>
    </cfRule>
    <cfRule type="dataBar" priority="501">
      <dataBar>
        <cfvo type="num" val="0"/>
        <cfvo type="num" val="1"/>
        <color rgb="FF9AC7F0"/>
      </dataBar>
      <extLst>
        <ext xmlns:x14="http://schemas.microsoft.com/office/spreadsheetml/2009/9/main" uri="{B025F937-C7B1-47D3-B67F-A62EFF666E3E}">
          <x14:id>{C784D645-EF23-4B98-9BCF-1395CB602C2A}</x14:id>
        </ext>
      </extLst>
    </cfRule>
  </conditionalFormatting>
  <conditionalFormatting sqref="T119">
    <cfRule type="dataBar" priority="500">
      <dataBar>
        <cfvo type="num" val="0"/>
        <cfvo type="num" val="1"/>
        <color rgb="FF9AC7F0"/>
      </dataBar>
      <extLst>
        <ext xmlns:x14="http://schemas.microsoft.com/office/spreadsheetml/2009/9/main" uri="{B025F937-C7B1-47D3-B67F-A62EFF666E3E}">
          <x14:id>{86734A95-662C-4259-B728-DE6F77F47C20}</x14:id>
        </ext>
      </extLst>
    </cfRule>
  </conditionalFormatting>
  <conditionalFormatting sqref="M117">
    <cfRule type="cellIs" dxfId="1053" priority="485" operator="equal">
      <formula>"Done"</formula>
    </cfRule>
    <cfRule type="cellIs" dxfId="1052" priority="502" operator="lessThan">
      <formula>0</formula>
    </cfRule>
    <cfRule type="cellIs" dxfId="1051" priority="503" operator="lessThan">
      <formula>$S$12</formula>
    </cfRule>
    <cfRule type="cellIs" dxfId="1050" priority="504" operator="lessThan">
      <formula>5</formula>
    </cfRule>
  </conditionalFormatting>
  <conditionalFormatting sqref="W117">
    <cfRule type="containsBlanks" dxfId="1049" priority="496">
      <formula>LEN(TRIM(W117))=0</formula>
    </cfRule>
    <cfRule type="cellIs" dxfId="1048" priority="498" operator="greaterThan">
      <formula>0</formula>
    </cfRule>
    <cfRule type="cellIs" dxfId="1047" priority="499" operator="lessThanOrEqual">
      <formula>0</formula>
    </cfRule>
  </conditionalFormatting>
  <conditionalFormatting sqref="O118">
    <cfRule type="dataBar" priority="495">
      <dataBar>
        <cfvo type="num" val="0"/>
        <cfvo type="num" val="1"/>
        <color rgb="FF9AC7F0"/>
      </dataBar>
      <extLst>
        <ext xmlns:x14="http://schemas.microsoft.com/office/spreadsheetml/2009/9/main" uri="{B025F937-C7B1-47D3-B67F-A62EFF666E3E}">
          <x14:id>{C5BD017A-ED82-433A-AE9A-1CECB6E75241}</x14:id>
        </ext>
      </extLst>
    </cfRule>
  </conditionalFormatting>
  <conditionalFormatting sqref="I117">
    <cfRule type="expression" dxfId="1046" priority="493">
      <formula>AND(J117&lt;&gt;"",J117&lt;=TODAY(),P117&lt;1,M117&lt;&gt;"Done")</formula>
    </cfRule>
  </conditionalFormatting>
  <conditionalFormatting sqref="H117">
    <cfRule type="cellIs" dxfId="1045" priority="492" operator="equal">
      <formula>"Nicht buchbar!"</formula>
    </cfRule>
  </conditionalFormatting>
  <conditionalFormatting sqref="K118">
    <cfRule type="expression" priority="484">
      <formula>IF(M118="Done",TRUE,FALSE)</formula>
    </cfRule>
    <cfRule type="cellIs" dxfId="1044" priority="486" operator="greaterThan">
      <formula>P118</formula>
    </cfRule>
    <cfRule type="dataBar" priority="491">
      <dataBar>
        <cfvo type="num" val="0"/>
        <cfvo type="num" val="1"/>
        <color rgb="FF9AC7F0"/>
      </dataBar>
      <extLst>
        <ext xmlns:x14="http://schemas.microsoft.com/office/spreadsheetml/2009/9/main" uri="{B025F937-C7B1-47D3-B67F-A62EFF666E3E}">
          <x14:id>{72481F3B-CB4C-4CDB-AF37-0AA9D970C856}</x14:id>
        </ext>
      </extLst>
    </cfRule>
  </conditionalFormatting>
  <conditionalFormatting sqref="K117">
    <cfRule type="dataBar" priority="489">
      <dataBar>
        <cfvo type="num" val="0"/>
        <cfvo type="num" val="1"/>
        <color rgb="FF9AC7F0"/>
      </dataBar>
      <extLst>
        <ext xmlns:x14="http://schemas.microsoft.com/office/spreadsheetml/2009/9/main" uri="{B025F937-C7B1-47D3-B67F-A62EFF666E3E}">
          <x14:id>{FE1B1970-7685-48FE-B6D8-A8276848EF3B}</x14:id>
        </ext>
      </extLst>
    </cfRule>
    <cfRule type="notContainsBlanks" dxfId="1043" priority="490">
      <formula>LEN(TRIM(K117))&gt;0</formula>
    </cfRule>
  </conditionalFormatting>
  <conditionalFormatting sqref="I118">
    <cfRule type="expression" dxfId="1042" priority="488">
      <formula>AND(J118&lt;&gt;"",J118&lt;=TODAY(),P118&lt;1)</formula>
    </cfRule>
  </conditionalFormatting>
  <conditionalFormatting sqref="P118">
    <cfRule type="dataBar" priority="487">
      <dataBar>
        <cfvo type="num" val="0"/>
        <cfvo type="num" val="1"/>
        <color rgb="FF9AC7F0"/>
      </dataBar>
      <extLst>
        <ext xmlns:x14="http://schemas.microsoft.com/office/spreadsheetml/2009/9/main" uri="{B025F937-C7B1-47D3-B67F-A62EFF666E3E}">
          <x14:id>{9948EB4A-C692-4665-9357-459BBB88345C}</x14:id>
        </ext>
      </extLst>
    </cfRule>
  </conditionalFormatting>
  <conditionalFormatting sqref="M118">
    <cfRule type="cellIs" dxfId="1041" priority="481" operator="lessThan">
      <formula>0</formula>
    </cfRule>
    <cfRule type="cellIs" dxfId="1040" priority="482" operator="lessThan">
      <formula>S118</formula>
    </cfRule>
    <cfRule type="cellIs" dxfId="1039" priority="483" operator="lessThan">
      <formula>5</formula>
    </cfRule>
  </conditionalFormatting>
  <conditionalFormatting sqref="M118">
    <cfRule type="cellIs" dxfId="1038" priority="480" operator="equal">
      <formula>"Done"</formula>
    </cfRule>
  </conditionalFormatting>
  <conditionalFormatting sqref="T122">
    <cfRule type="cellIs" dxfId="1037" priority="467" operator="greaterThan">
      <formula>1</formula>
    </cfRule>
    <cfRule type="dataBar" priority="474">
      <dataBar>
        <cfvo type="num" val="0"/>
        <cfvo type="num" val="1"/>
        <color rgb="FF9AC7F0"/>
      </dataBar>
      <extLst>
        <ext xmlns:x14="http://schemas.microsoft.com/office/spreadsheetml/2009/9/main" uri="{B025F937-C7B1-47D3-B67F-A62EFF666E3E}">
          <x14:id>{FC069D72-0076-4F5D-83BA-920C173BF65A}</x14:id>
        </ext>
      </extLst>
    </cfRule>
  </conditionalFormatting>
  <conditionalFormatting sqref="T124">
    <cfRule type="dataBar" priority="473">
      <dataBar>
        <cfvo type="num" val="0"/>
        <cfvo type="num" val="1"/>
        <color rgb="FF9AC7F0"/>
      </dataBar>
      <extLst>
        <ext xmlns:x14="http://schemas.microsoft.com/office/spreadsheetml/2009/9/main" uri="{B025F937-C7B1-47D3-B67F-A62EFF666E3E}">
          <x14:id>{9C47B408-9D05-43F8-A940-515E07A8AFC6}</x14:id>
        </ext>
      </extLst>
    </cfRule>
  </conditionalFormatting>
  <conditionalFormatting sqref="M122">
    <cfRule type="cellIs" dxfId="1036" priority="458" operator="equal">
      <formula>"Done"</formula>
    </cfRule>
    <cfRule type="cellIs" dxfId="1035" priority="475" operator="lessThan">
      <formula>0</formula>
    </cfRule>
    <cfRule type="cellIs" dxfId="1034" priority="476" operator="lessThan">
      <formula>$S$12</formula>
    </cfRule>
    <cfRule type="cellIs" dxfId="1033" priority="477" operator="lessThan">
      <formula>5</formula>
    </cfRule>
  </conditionalFormatting>
  <conditionalFormatting sqref="W122">
    <cfRule type="containsBlanks" dxfId="1032" priority="469">
      <formula>LEN(TRIM(W122))=0</formula>
    </cfRule>
    <cfRule type="cellIs" dxfId="1031" priority="471" operator="greaterThan">
      <formula>0</formula>
    </cfRule>
    <cfRule type="cellIs" dxfId="1030" priority="472" operator="lessThanOrEqual">
      <formula>0</formula>
    </cfRule>
  </conditionalFormatting>
  <conditionalFormatting sqref="O123">
    <cfRule type="dataBar" priority="468">
      <dataBar>
        <cfvo type="num" val="0"/>
        <cfvo type="num" val="1"/>
        <color rgb="FF9AC7F0"/>
      </dataBar>
      <extLst>
        <ext xmlns:x14="http://schemas.microsoft.com/office/spreadsheetml/2009/9/main" uri="{B025F937-C7B1-47D3-B67F-A62EFF666E3E}">
          <x14:id>{5DC1F1FA-AE91-40D0-A1EC-414FB7B2DE93}</x14:id>
        </ext>
      </extLst>
    </cfRule>
  </conditionalFormatting>
  <conditionalFormatting sqref="I122">
    <cfRule type="expression" dxfId="1029" priority="466">
      <formula>AND(J122&lt;&gt;"",J122&lt;=TODAY(),P122&lt;1,M122&lt;&gt;"Done")</formula>
    </cfRule>
  </conditionalFormatting>
  <conditionalFormatting sqref="H122">
    <cfRule type="cellIs" dxfId="1028" priority="465" operator="equal">
      <formula>"Nicht buchbar!"</formula>
    </cfRule>
  </conditionalFormatting>
  <conditionalFormatting sqref="K123">
    <cfRule type="expression" priority="457">
      <formula>IF(M123="Done",TRUE,FALSE)</formula>
    </cfRule>
    <cfRule type="cellIs" dxfId="1027" priority="459" operator="greaterThan">
      <formula>P123</formula>
    </cfRule>
    <cfRule type="dataBar" priority="464">
      <dataBar>
        <cfvo type="num" val="0"/>
        <cfvo type="num" val="1"/>
        <color rgb="FF9AC7F0"/>
      </dataBar>
      <extLst>
        <ext xmlns:x14="http://schemas.microsoft.com/office/spreadsheetml/2009/9/main" uri="{B025F937-C7B1-47D3-B67F-A62EFF666E3E}">
          <x14:id>{E44AEB64-55A9-47E1-9CC8-51351F532DFD}</x14:id>
        </ext>
      </extLst>
    </cfRule>
  </conditionalFormatting>
  <conditionalFormatting sqref="K122">
    <cfRule type="dataBar" priority="462">
      <dataBar>
        <cfvo type="num" val="0"/>
        <cfvo type="num" val="1"/>
        <color rgb="FF9AC7F0"/>
      </dataBar>
      <extLst>
        <ext xmlns:x14="http://schemas.microsoft.com/office/spreadsheetml/2009/9/main" uri="{B025F937-C7B1-47D3-B67F-A62EFF666E3E}">
          <x14:id>{DE1DFC8C-C481-452C-A077-50826879D1E0}</x14:id>
        </ext>
      </extLst>
    </cfRule>
    <cfRule type="notContainsBlanks" dxfId="1026" priority="463">
      <formula>LEN(TRIM(K122))&gt;0</formula>
    </cfRule>
  </conditionalFormatting>
  <conditionalFormatting sqref="I123">
    <cfRule type="expression" dxfId="1025" priority="461">
      <formula>AND(J123&lt;&gt;"",J123&lt;=TODAY(),P123&lt;1)</formula>
    </cfRule>
  </conditionalFormatting>
  <conditionalFormatting sqref="P123">
    <cfRule type="dataBar" priority="460">
      <dataBar>
        <cfvo type="num" val="0"/>
        <cfvo type="num" val="1"/>
        <color rgb="FF9AC7F0"/>
      </dataBar>
      <extLst>
        <ext xmlns:x14="http://schemas.microsoft.com/office/spreadsheetml/2009/9/main" uri="{B025F937-C7B1-47D3-B67F-A62EFF666E3E}">
          <x14:id>{371BEDF4-D8DF-4EAB-B20D-3964A6666FDC}</x14:id>
        </ext>
      </extLst>
    </cfRule>
  </conditionalFormatting>
  <conditionalFormatting sqref="M123">
    <cfRule type="cellIs" dxfId="1024" priority="454" operator="lessThan">
      <formula>0</formula>
    </cfRule>
    <cfRule type="cellIs" dxfId="1023" priority="455" operator="lessThan">
      <formula>S123</formula>
    </cfRule>
    <cfRule type="cellIs" dxfId="1022" priority="456" operator="lessThan">
      <formula>5</formula>
    </cfRule>
  </conditionalFormatting>
  <conditionalFormatting sqref="M123">
    <cfRule type="cellIs" dxfId="1021" priority="453" operator="equal">
      <formula>"Done"</formula>
    </cfRule>
  </conditionalFormatting>
  <conditionalFormatting sqref="T127">
    <cfRule type="cellIs" dxfId="1020" priority="440" operator="greaterThan">
      <formula>1</formula>
    </cfRule>
    <cfRule type="dataBar" priority="447">
      <dataBar>
        <cfvo type="num" val="0"/>
        <cfvo type="num" val="1"/>
        <color rgb="FF9AC7F0"/>
      </dataBar>
      <extLst>
        <ext xmlns:x14="http://schemas.microsoft.com/office/spreadsheetml/2009/9/main" uri="{B025F937-C7B1-47D3-B67F-A62EFF666E3E}">
          <x14:id>{28706059-1B86-4A6D-8DAF-02AD2C0A0650}</x14:id>
        </ext>
      </extLst>
    </cfRule>
  </conditionalFormatting>
  <conditionalFormatting sqref="T129">
    <cfRule type="dataBar" priority="446">
      <dataBar>
        <cfvo type="num" val="0"/>
        <cfvo type="num" val="1"/>
        <color rgb="FF9AC7F0"/>
      </dataBar>
      <extLst>
        <ext xmlns:x14="http://schemas.microsoft.com/office/spreadsheetml/2009/9/main" uri="{B025F937-C7B1-47D3-B67F-A62EFF666E3E}">
          <x14:id>{AB009893-F9F1-48F2-8657-DD65D3234B9B}</x14:id>
        </ext>
      </extLst>
    </cfRule>
  </conditionalFormatting>
  <conditionalFormatting sqref="M127">
    <cfRule type="cellIs" dxfId="1019" priority="431" operator="equal">
      <formula>"Done"</formula>
    </cfRule>
    <cfRule type="cellIs" dxfId="1018" priority="448" operator="lessThan">
      <formula>0</formula>
    </cfRule>
    <cfRule type="cellIs" dxfId="1017" priority="449" operator="lessThan">
      <formula>$S$12</formula>
    </cfRule>
    <cfRule type="cellIs" dxfId="1016" priority="450" operator="lessThan">
      <formula>5</formula>
    </cfRule>
  </conditionalFormatting>
  <conditionalFormatting sqref="W127">
    <cfRule type="containsBlanks" dxfId="1015" priority="442">
      <formula>LEN(TRIM(W127))=0</formula>
    </cfRule>
    <cfRule type="cellIs" dxfId="1014" priority="444" operator="greaterThan">
      <formula>0</formula>
    </cfRule>
    <cfRule type="cellIs" dxfId="1013" priority="445" operator="lessThanOrEqual">
      <formula>0</formula>
    </cfRule>
  </conditionalFormatting>
  <conditionalFormatting sqref="O128">
    <cfRule type="dataBar" priority="441">
      <dataBar>
        <cfvo type="num" val="0"/>
        <cfvo type="num" val="1"/>
        <color rgb="FF9AC7F0"/>
      </dataBar>
      <extLst>
        <ext xmlns:x14="http://schemas.microsoft.com/office/spreadsheetml/2009/9/main" uri="{B025F937-C7B1-47D3-B67F-A62EFF666E3E}">
          <x14:id>{4D3CA628-A388-4862-8974-1582778649E2}</x14:id>
        </ext>
      </extLst>
    </cfRule>
  </conditionalFormatting>
  <conditionalFormatting sqref="I127">
    <cfRule type="expression" dxfId="1012" priority="439">
      <formula>AND(J127&lt;&gt;"",J127&lt;=TODAY(),P127&lt;1,M127&lt;&gt;"Done")</formula>
    </cfRule>
  </conditionalFormatting>
  <conditionalFormatting sqref="H127">
    <cfRule type="cellIs" dxfId="1011" priority="438" operator="equal">
      <formula>"Nicht buchbar!"</formula>
    </cfRule>
  </conditionalFormatting>
  <conditionalFormatting sqref="K128">
    <cfRule type="expression" priority="430">
      <formula>IF(M128="Done",TRUE,FALSE)</formula>
    </cfRule>
    <cfRule type="cellIs" dxfId="1010" priority="432" operator="greaterThan">
      <formula>P128</formula>
    </cfRule>
    <cfRule type="dataBar" priority="437">
      <dataBar>
        <cfvo type="num" val="0"/>
        <cfvo type="num" val="1"/>
        <color rgb="FF9AC7F0"/>
      </dataBar>
      <extLst>
        <ext xmlns:x14="http://schemas.microsoft.com/office/spreadsheetml/2009/9/main" uri="{B025F937-C7B1-47D3-B67F-A62EFF666E3E}">
          <x14:id>{2369161B-4CED-48E6-95F3-25276D4AD4A4}</x14:id>
        </ext>
      </extLst>
    </cfRule>
  </conditionalFormatting>
  <conditionalFormatting sqref="K127">
    <cfRule type="dataBar" priority="435">
      <dataBar>
        <cfvo type="num" val="0"/>
        <cfvo type="num" val="1"/>
        <color rgb="FF9AC7F0"/>
      </dataBar>
      <extLst>
        <ext xmlns:x14="http://schemas.microsoft.com/office/spreadsheetml/2009/9/main" uri="{B025F937-C7B1-47D3-B67F-A62EFF666E3E}">
          <x14:id>{A46E030D-AFC2-4EE9-85D1-6C37042D25A1}</x14:id>
        </ext>
      </extLst>
    </cfRule>
    <cfRule type="notContainsBlanks" dxfId="1009" priority="436">
      <formula>LEN(TRIM(K127))&gt;0</formula>
    </cfRule>
  </conditionalFormatting>
  <conditionalFormatting sqref="I128">
    <cfRule type="expression" dxfId="1008" priority="434">
      <formula>AND(J128&lt;&gt;"",J128&lt;=TODAY(),P128&lt;1)</formula>
    </cfRule>
  </conditionalFormatting>
  <conditionalFormatting sqref="P128">
    <cfRule type="dataBar" priority="433">
      <dataBar>
        <cfvo type="num" val="0"/>
        <cfvo type="num" val="1"/>
        <color rgb="FF9AC7F0"/>
      </dataBar>
      <extLst>
        <ext xmlns:x14="http://schemas.microsoft.com/office/spreadsheetml/2009/9/main" uri="{B025F937-C7B1-47D3-B67F-A62EFF666E3E}">
          <x14:id>{B90C4CC0-DF0C-4A68-BC9F-9C32B71C1204}</x14:id>
        </ext>
      </extLst>
    </cfRule>
  </conditionalFormatting>
  <conditionalFormatting sqref="M128">
    <cfRule type="cellIs" dxfId="1007" priority="427" operator="lessThan">
      <formula>0</formula>
    </cfRule>
    <cfRule type="cellIs" dxfId="1006" priority="428" operator="lessThan">
      <formula>S128</formula>
    </cfRule>
    <cfRule type="cellIs" dxfId="1005" priority="429" operator="lessThan">
      <formula>5</formula>
    </cfRule>
  </conditionalFormatting>
  <conditionalFormatting sqref="M128">
    <cfRule type="cellIs" dxfId="1004" priority="426" operator="equal">
      <formula>"Done"</formula>
    </cfRule>
  </conditionalFormatting>
  <conditionalFormatting sqref="T132">
    <cfRule type="cellIs" dxfId="1003" priority="413" operator="greaterThan">
      <formula>1</formula>
    </cfRule>
    <cfRule type="dataBar" priority="420">
      <dataBar>
        <cfvo type="num" val="0"/>
        <cfvo type="num" val="1"/>
        <color rgb="FF9AC7F0"/>
      </dataBar>
      <extLst>
        <ext xmlns:x14="http://schemas.microsoft.com/office/spreadsheetml/2009/9/main" uri="{B025F937-C7B1-47D3-B67F-A62EFF666E3E}">
          <x14:id>{C16B5A1B-5635-4606-AB05-1244D2066D8A}</x14:id>
        </ext>
      </extLst>
    </cfRule>
  </conditionalFormatting>
  <conditionalFormatting sqref="T134">
    <cfRule type="dataBar" priority="419">
      <dataBar>
        <cfvo type="num" val="0"/>
        <cfvo type="num" val="1"/>
        <color rgb="FF9AC7F0"/>
      </dataBar>
      <extLst>
        <ext xmlns:x14="http://schemas.microsoft.com/office/spreadsheetml/2009/9/main" uri="{B025F937-C7B1-47D3-B67F-A62EFF666E3E}">
          <x14:id>{2CEB3BD8-2385-4384-A667-496BFB5539EE}</x14:id>
        </ext>
      </extLst>
    </cfRule>
  </conditionalFormatting>
  <conditionalFormatting sqref="M132">
    <cfRule type="cellIs" dxfId="1002" priority="404" operator="equal">
      <formula>"Done"</formula>
    </cfRule>
    <cfRule type="cellIs" dxfId="1001" priority="421" operator="lessThan">
      <formula>0</formula>
    </cfRule>
    <cfRule type="cellIs" dxfId="1000" priority="422" operator="lessThan">
      <formula>$S$12</formula>
    </cfRule>
    <cfRule type="cellIs" dxfId="999" priority="423" operator="lessThan">
      <formula>5</formula>
    </cfRule>
  </conditionalFormatting>
  <conditionalFormatting sqref="W132">
    <cfRule type="containsBlanks" dxfId="998" priority="415">
      <formula>LEN(TRIM(W132))=0</formula>
    </cfRule>
    <cfRule type="cellIs" dxfId="997" priority="417" operator="greaterThan">
      <formula>0</formula>
    </cfRule>
    <cfRule type="cellIs" dxfId="996" priority="418" operator="lessThanOrEqual">
      <formula>0</formula>
    </cfRule>
  </conditionalFormatting>
  <conditionalFormatting sqref="O133">
    <cfRule type="dataBar" priority="414">
      <dataBar>
        <cfvo type="num" val="0"/>
        <cfvo type="num" val="1"/>
        <color rgb="FF9AC7F0"/>
      </dataBar>
      <extLst>
        <ext xmlns:x14="http://schemas.microsoft.com/office/spreadsheetml/2009/9/main" uri="{B025F937-C7B1-47D3-B67F-A62EFF666E3E}">
          <x14:id>{E0EE77AD-8AA0-4B88-BB67-CA9271887107}</x14:id>
        </ext>
      </extLst>
    </cfRule>
  </conditionalFormatting>
  <conditionalFormatting sqref="I132">
    <cfRule type="expression" dxfId="995" priority="412">
      <formula>AND(J132&lt;&gt;"",J132&lt;=TODAY(),P132&lt;1,M132&lt;&gt;"Done")</formula>
    </cfRule>
  </conditionalFormatting>
  <conditionalFormatting sqref="H132">
    <cfRule type="cellIs" dxfId="994" priority="411" operator="equal">
      <formula>"Nicht buchbar!"</formula>
    </cfRule>
  </conditionalFormatting>
  <conditionalFormatting sqref="K133">
    <cfRule type="expression" priority="403">
      <formula>IF(M133="Done",TRUE,FALSE)</formula>
    </cfRule>
    <cfRule type="cellIs" dxfId="993" priority="405" operator="greaterThan">
      <formula>P133</formula>
    </cfRule>
    <cfRule type="dataBar" priority="410">
      <dataBar>
        <cfvo type="num" val="0"/>
        <cfvo type="num" val="1"/>
        <color rgb="FF9AC7F0"/>
      </dataBar>
      <extLst>
        <ext xmlns:x14="http://schemas.microsoft.com/office/spreadsheetml/2009/9/main" uri="{B025F937-C7B1-47D3-B67F-A62EFF666E3E}">
          <x14:id>{187B8923-1E12-428B-A96B-A0F06856DD50}</x14:id>
        </ext>
      </extLst>
    </cfRule>
  </conditionalFormatting>
  <conditionalFormatting sqref="K132">
    <cfRule type="dataBar" priority="408">
      <dataBar>
        <cfvo type="num" val="0"/>
        <cfvo type="num" val="1"/>
        <color rgb="FF9AC7F0"/>
      </dataBar>
      <extLst>
        <ext xmlns:x14="http://schemas.microsoft.com/office/spreadsheetml/2009/9/main" uri="{B025F937-C7B1-47D3-B67F-A62EFF666E3E}">
          <x14:id>{223D6F0A-15A2-4435-82E3-2A8197786CBB}</x14:id>
        </ext>
      </extLst>
    </cfRule>
    <cfRule type="notContainsBlanks" dxfId="992" priority="409">
      <formula>LEN(TRIM(K132))&gt;0</formula>
    </cfRule>
  </conditionalFormatting>
  <conditionalFormatting sqref="I133">
    <cfRule type="expression" dxfId="991" priority="407">
      <formula>AND(J133&lt;&gt;"",J133&lt;=TODAY(),P133&lt;1)</formula>
    </cfRule>
  </conditionalFormatting>
  <conditionalFormatting sqref="P133">
    <cfRule type="dataBar" priority="406">
      <dataBar>
        <cfvo type="num" val="0"/>
        <cfvo type="num" val="1"/>
        <color rgb="FF9AC7F0"/>
      </dataBar>
      <extLst>
        <ext xmlns:x14="http://schemas.microsoft.com/office/spreadsheetml/2009/9/main" uri="{B025F937-C7B1-47D3-B67F-A62EFF666E3E}">
          <x14:id>{185EA232-1BA7-4D89-A6F9-5BCB1B41CCD2}</x14:id>
        </ext>
      </extLst>
    </cfRule>
  </conditionalFormatting>
  <conditionalFormatting sqref="M133">
    <cfRule type="cellIs" dxfId="990" priority="400" operator="lessThan">
      <formula>0</formula>
    </cfRule>
    <cfRule type="cellIs" dxfId="989" priority="401" operator="lessThan">
      <formula>S133</formula>
    </cfRule>
    <cfRule type="cellIs" dxfId="988" priority="402" operator="lessThan">
      <formula>5</formula>
    </cfRule>
  </conditionalFormatting>
  <conditionalFormatting sqref="M133">
    <cfRule type="cellIs" dxfId="987" priority="399" operator="equal">
      <formula>"Done"</formula>
    </cfRule>
  </conditionalFormatting>
  <conditionalFormatting sqref="T137">
    <cfRule type="cellIs" dxfId="986" priority="386" operator="greaterThan">
      <formula>1</formula>
    </cfRule>
    <cfRule type="dataBar" priority="393">
      <dataBar>
        <cfvo type="num" val="0"/>
        <cfvo type="num" val="1"/>
        <color rgb="FF9AC7F0"/>
      </dataBar>
      <extLst>
        <ext xmlns:x14="http://schemas.microsoft.com/office/spreadsheetml/2009/9/main" uri="{B025F937-C7B1-47D3-B67F-A62EFF666E3E}">
          <x14:id>{6E34B005-16D4-4FDE-B679-C4C7C20F4CEC}</x14:id>
        </ext>
      </extLst>
    </cfRule>
  </conditionalFormatting>
  <conditionalFormatting sqref="T139">
    <cfRule type="dataBar" priority="392">
      <dataBar>
        <cfvo type="num" val="0"/>
        <cfvo type="num" val="1"/>
        <color rgb="FF9AC7F0"/>
      </dataBar>
      <extLst>
        <ext xmlns:x14="http://schemas.microsoft.com/office/spreadsheetml/2009/9/main" uri="{B025F937-C7B1-47D3-B67F-A62EFF666E3E}">
          <x14:id>{B97B83BA-D59D-4D60-B6F0-085E32D88490}</x14:id>
        </ext>
      </extLst>
    </cfRule>
  </conditionalFormatting>
  <conditionalFormatting sqref="M137">
    <cfRule type="cellIs" dxfId="985" priority="377" operator="equal">
      <formula>"Done"</formula>
    </cfRule>
    <cfRule type="cellIs" dxfId="984" priority="394" operator="lessThan">
      <formula>0</formula>
    </cfRule>
    <cfRule type="cellIs" dxfId="983" priority="395" operator="lessThan">
      <formula>$S$12</formula>
    </cfRule>
    <cfRule type="cellIs" dxfId="982" priority="396" operator="lessThan">
      <formula>5</formula>
    </cfRule>
  </conditionalFormatting>
  <conditionalFormatting sqref="W137">
    <cfRule type="containsBlanks" dxfId="981" priority="388">
      <formula>LEN(TRIM(W137))=0</formula>
    </cfRule>
    <cfRule type="cellIs" dxfId="980" priority="390" operator="greaterThan">
      <formula>0</formula>
    </cfRule>
    <cfRule type="cellIs" dxfId="979" priority="391" operator="lessThanOrEqual">
      <formula>0</formula>
    </cfRule>
  </conditionalFormatting>
  <conditionalFormatting sqref="O138">
    <cfRule type="dataBar" priority="387">
      <dataBar>
        <cfvo type="num" val="0"/>
        <cfvo type="num" val="1"/>
        <color rgb="FF9AC7F0"/>
      </dataBar>
      <extLst>
        <ext xmlns:x14="http://schemas.microsoft.com/office/spreadsheetml/2009/9/main" uri="{B025F937-C7B1-47D3-B67F-A62EFF666E3E}">
          <x14:id>{1D2B8A3F-7DCF-4286-8CE7-0D8AAB371E54}</x14:id>
        </ext>
      </extLst>
    </cfRule>
  </conditionalFormatting>
  <conditionalFormatting sqref="I137">
    <cfRule type="expression" dxfId="978" priority="385">
      <formula>AND(J137&lt;&gt;"",J137&lt;=TODAY(),P137&lt;1,M137&lt;&gt;"Done")</formula>
    </cfRule>
  </conditionalFormatting>
  <conditionalFormatting sqref="H137">
    <cfRule type="cellIs" dxfId="977" priority="384" operator="equal">
      <formula>"Nicht buchbar!"</formula>
    </cfRule>
  </conditionalFormatting>
  <conditionalFormatting sqref="K138">
    <cfRule type="expression" priority="376">
      <formula>IF(M138="Done",TRUE,FALSE)</formula>
    </cfRule>
    <cfRule type="cellIs" dxfId="976" priority="378" operator="greaterThan">
      <formula>P138</formula>
    </cfRule>
    <cfRule type="dataBar" priority="383">
      <dataBar>
        <cfvo type="num" val="0"/>
        <cfvo type="num" val="1"/>
        <color rgb="FF9AC7F0"/>
      </dataBar>
      <extLst>
        <ext xmlns:x14="http://schemas.microsoft.com/office/spreadsheetml/2009/9/main" uri="{B025F937-C7B1-47D3-B67F-A62EFF666E3E}">
          <x14:id>{B6BFA356-04FE-468E-BF89-4E9A17C7EB9E}</x14:id>
        </ext>
      </extLst>
    </cfRule>
  </conditionalFormatting>
  <conditionalFormatting sqref="K137">
    <cfRule type="dataBar" priority="381">
      <dataBar>
        <cfvo type="num" val="0"/>
        <cfvo type="num" val="1"/>
        <color rgb="FF9AC7F0"/>
      </dataBar>
      <extLst>
        <ext xmlns:x14="http://schemas.microsoft.com/office/spreadsheetml/2009/9/main" uri="{B025F937-C7B1-47D3-B67F-A62EFF666E3E}">
          <x14:id>{F9E20443-A9B6-4C0C-9020-99657A3BCF4B}</x14:id>
        </ext>
      </extLst>
    </cfRule>
    <cfRule type="notContainsBlanks" dxfId="975" priority="382">
      <formula>LEN(TRIM(K137))&gt;0</formula>
    </cfRule>
  </conditionalFormatting>
  <conditionalFormatting sqref="I138">
    <cfRule type="expression" dxfId="974" priority="380">
      <formula>AND(J138&lt;&gt;"",J138&lt;=TODAY(),P138&lt;1)</formula>
    </cfRule>
  </conditionalFormatting>
  <conditionalFormatting sqref="P138">
    <cfRule type="dataBar" priority="379">
      <dataBar>
        <cfvo type="num" val="0"/>
        <cfvo type="num" val="1"/>
        <color rgb="FF9AC7F0"/>
      </dataBar>
      <extLst>
        <ext xmlns:x14="http://schemas.microsoft.com/office/spreadsheetml/2009/9/main" uri="{B025F937-C7B1-47D3-B67F-A62EFF666E3E}">
          <x14:id>{3AED9D13-E3DA-4D19-8615-FECCCFCE4A3A}</x14:id>
        </ext>
      </extLst>
    </cfRule>
  </conditionalFormatting>
  <conditionalFormatting sqref="M138">
    <cfRule type="cellIs" dxfId="973" priority="373" operator="lessThan">
      <formula>0</formula>
    </cfRule>
    <cfRule type="cellIs" dxfId="972" priority="374" operator="lessThan">
      <formula>S138</formula>
    </cfRule>
    <cfRule type="cellIs" dxfId="971" priority="375" operator="lessThan">
      <formula>5</formula>
    </cfRule>
  </conditionalFormatting>
  <conditionalFormatting sqref="M138">
    <cfRule type="cellIs" dxfId="970" priority="372" operator="equal">
      <formula>"Done"</formula>
    </cfRule>
  </conditionalFormatting>
  <conditionalFormatting sqref="T142">
    <cfRule type="cellIs" dxfId="969" priority="359" operator="greaterThan">
      <formula>1</formula>
    </cfRule>
    <cfRule type="dataBar" priority="366">
      <dataBar>
        <cfvo type="num" val="0"/>
        <cfvo type="num" val="1"/>
        <color rgb="FF9AC7F0"/>
      </dataBar>
      <extLst>
        <ext xmlns:x14="http://schemas.microsoft.com/office/spreadsheetml/2009/9/main" uri="{B025F937-C7B1-47D3-B67F-A62EFF666E3E}">
          <x14:id>{DFAE0A35-CD5D-4635-B487-D14559171429}</x14:id>
        </ext>
      </extLst>
    </cfRule>
  </conditionalFormatting>
  <conditionalFormatting sqref="T144">
    <cfRule type="dataBar" priority="365">
      <dataBar>
        <cfvo type="num" val="0"/>
        <cfvo type="num" val="1"/>
        <color rgb="FF9AC7F0"/>
      </dataBar>
      <extLst>
        <ext xmlns:x14="http://schemas.microsoft.com/office/spreadsheetml/2009/9/main" uri="{B025F937-C7B1-47D3-B67F-A62EFF666E3E}">
          <x14:id>{7566424C-9497-4123-983E-788770C5AA3E}</x14:id>
        </ext>
      </extLst>
    </cfRule>
  </conditionalFormatting>
  <conditionalFormatting sqref="M142">
    <cfRule type="cellIs" dxfId="968" priority="350" operator="equal">
      <formula>"Done"</formula>
    </cfRule>
    <cfRule type="cellIs" dxfId="967" priority="367" operator="lessThan">
      <formula>0</formula>
    </cfRule>
    <cfRule type="cellIs" dxfId="966" priority="368" operator="lessThan">
      <formula>$S$12</formula>
    </cfRule>
    <cfRule type="cellIs" dxfId="965" priority="369" operator="lessThan">
      <formula>5</formula>
    </cfRule>
  </conditionalFormatting>
  <conditionalFormatting sqref="W142">
    <cfRule type="containsBlanks" dxfId="964" priority="361">
      <formula>LEN(TRIM(W142))=0</formula>
    </cfRule>
    <cfRule type="cellIs" dxfId="963" priority="363" operator="greaterThan">
      <formula>0</formula>
    </cfRule>
    <cfRule type="cellIs" dxfId="962" priority="364" operator="lessThanOrEqual">
      <formula>0</formula>
    </cfRule>
  </conditionalFormatting>
  <conditionalFormatting sqref="O143">
    <cfRule type="dataBar" priority="360">
      <dataBar>
        <cfvo type="num" val="0"/>
        <cfvo type="num" val="1"/>
        <color rgb="FF9AC7F0"/>
      </dataBar>
      <extLst>
        <ext xmlns:x14="http://schemas.microsoft.com/office/spreadsheetml/2009/9/main" uri="{B025F937-C7B1-47D3-B67F-A62EFF666E3E}">
          <x14:id>{07D7BB64-4130-4D40-B010-F631832007B0}</x14:id>
        </ext>
      </extLst>
    </cfRule>
  </conditionalFormatting>
  <conditionalFormatting sqref="I142">
    <cfRule type="expression" dxfId="961" priority="358">
      <formula>AND(J142&lt;&gt;"",J142&lt;=TODAY(),P142&lt;1,M142&lt;&gt;"Done")</formula>
    </cfRule>
  </conditionalFormatting>
  <conditionalFormatting sqref="H142">
    <cfRule type="cellIs" dxfId="960" priority="357" operator="equal">
      <formula>"Nicht buchbar!"</formula>
    </cfRule>
  </conditionalFormatting>
  <conditionalFormatting sqref="K143">
    <cfRule type="expression" priority="349">
      <formula>IF(M143="Done",TRUE,FALSE)</formula>
    </cfRule>
    <cfRule type="cellIs" dxfId="959" priority="351" operator="greaterThan">
      <formula>P143</formula>
    </cfRule>
    <cfRule type="dataBar" priority="356">
      <dataBar>
        <cfvo type="num" val="0"/>
        <cfvo type="num" val="1"/>
        <color rgb="FF9AC7F0"/>
      </dataBar>
      <extLst>
        <ext xmlns:x14="http://schemas.microsoft.com/office/spreadsheetml/2009/9/main" uri="{B025F937-C7B1-47D3-B67F-A62EFF666E3E}">
          <x14:id>{4BF316DC-9AFE-4BE9-A4CA-A31883023607}</x14:id>
        </ext>
      </extLst>
    </cfRule>
  </conditionalFormatting>
  <conditionalFormatting sqref="K142">
    <cfRule type="dataBar" priority="354">
      <dataBar>
        <cfvo type="num" val="0"/>
        <cfvo type="num" val="1"/>
        <color rgb="FF9AC7F0"/>
      </dataBar>
      <extLst>
        <ext xmlns:x14="http://schemas.microsoft.com/office/spreadsheetml/2009/9/main" uri="{B025F937-C7B1-47D3-B67F-A62EFF666E3E}">
          <x14:id>{2AE3EA02-EB6B-40C4-95AE-B68EC92AA7E3}</x14:id>
        </ext>
      </extLst>
    </cfRule>
    <cfRule type="notContainsBlanks" dxfId="958" priority="355">
      <formula>LEN(TRIM(K142))&gt;0</formula>
    </cfRule>
  </conditionalFormatting>
  <conditionalFormatting sqref="I143">
    <cfRule type="expression" dxfId="957" priority="353">
      <formula>AND(J143&lt;&gt;"",J143&lt;=TODAY(),P143&lt;1)</formula>
    </cfRule>
  </conditionalFormatting>
  <conditionalFormatting sqref="P143">
    <cfRule type="dataBar" priority="352">
      <dataBar>
        <cfvo type="num" val="0"/>
        <cfvo type="num" val="1"/>
        <color rgb="FF9AC7F0"/>
      </dataBar>
      <extLst>
        <ext xmlns:x14="http://schemas.microsoft.com/office/spreadsheetml/2009/9/main" uri="{B025F937-C7B1-47D3-B67F-A62EFF666E3E}">
          <x14:id>{5CD0F6AD-87BE-43CE-BAF8-B94F88B450B1}</x14:id>
        </ext>
      </extLst>
    </cfRule>
  </conditionalFormatting>
  <conditionalFormatting sqref="M143">
    <cfRule type="cellIs" dxfId="956" priority="346" operator="lessThan">
      <formula>0</formula>
    </cfRule>
    <cfRule type="cellIs" dxfId="955" priority="347" operator="lessThan">
      <formula>S143</formula>
    </cfRule>
    <cfRule type="cellIs" dxfId="954" priority="348" operator="lessThan">
      <formula>5</formula>
    </cfRule>
  </conditionalFormatting>
  <conditionalFormatting sqref="M143">
    <cfRule type="cellIs" dxfId="953" priority="345" operator="equal">
      <formula>"Done"</formula>
    </cfRule>
  </conditionalFormatting>
  <conditionalFormatting sqref="T22">
    <cfRule type="cellIs" dxfId="952" priority="332" operator="greaterThan">
      <formula>1</formula>
    </cfRule>
    <cfRule type="dataBar" priority="339">
      <dataBar>
        <cfvo type="num" val="0"/>
        <cfvo type="num" val="1"/>
        <color rgb="FF9AC7F0"/>
      </dataBar>
      <extLst>
        <ext xmlns:x14="http://schemas.microsoft.com/office/spreadsheetml/2009/9/main" uri="{B025F937-C7B1-47D3-B67F-A62EFF666E3E}">
          <x14:id>{EFA0C8E3-4F3D-4A1E-8463-657E573B4C4D}</x14:id>
        </ext>
      </extLst>
    </cfRule>
  </conditionalFormatting>
  <conditionalFormatting sqref="T24">
    <cfRule type="dataBar" priority="338">
      <dataBar>
        <cfvo type="num" val="0"/>
        <cfvo type="num" val="1"/>
        <color rgb="FF9AC7F0"/>
      </dataBar>
      <extLst>
        <ext xmlns:x14="http://schemas.microsoft.com/office/spreadsheetml/2009/9/main" uri="{B025F937-C7B1-47D3-B67F-A62EFF666E3E}">
          <x14:id>{6B5D26F5-7C27-4E3F-88C4-413C3EA29075}</x14:id>
        </ext>
      </extLst>
    </cfRule>
  </conditionalFormatting>
  <conditionalFormatting sqref="M22">
    <cfRule type="cellIs" dxfId="951" priority="323" operator="equal">
      <formula>"Done"</formula>
    </cfRule>
    <cfRule type="cellIs" dxfId="950" priority="340" operator="lessThan">
      <formula>0</formula>
    </cfRule>
    <cfRule type="cellIs" dxfId="949" priority="341" operator="lessThan">
      <formula>$S$12</formula>
    </cfRule>
    <cfRule type="cellIs" dxfId="948" priority="342" operator="lessThan">
      <formula>5</formula>
    </cfRule>
  </conditionalFormatting>
  <conditionalFormatting sqref="W22">
    <cfRule type="containsBlanks" dxfId="947" priority="334">
      <formula>LEN(TRIM(W22))=0</formula>
    </cfRule>
    <cfRule type="cellIs" dxfId="946" priority="336" operator="greaterThan">
      <formula>0</formula>
    </cfRule>
    <cfRule type="cellIs" dxfId="945" priority="337" operator="lessThanOrEqual">
      <formula>0</formula>
    </cfRule>
  </conditionalFormatting>
  <conditionalFormatting sqref="O23">
    <cfRule type="dataBar" priority="333">
      <dataBar>
        <cfvo type="num" val="0"/>
        <cfvo type="num" val="1"/>
        <color rgb="FF9AC7F0"/>
      </dataBar>
      <extLst>
        <ext xmlns:x14="http://schemas.microsoft.com/office/spreadsheetml/2009/9/main" uri="{B025F937-C7B1-47D3-B67F-A62EFF666E3E}">
          <x14:id>{DFEED74B-D31E-41D2-ADED-8A786C652168}</x14:id>
        </ext>
      </extLst>
    </cfRule>
  </conditionalFormatting>
  <conditionalFormatting sqref="I22">
    <cfRule type="expression" dxfId="944" priority="331">
      <formula>AND(J22&lt;&gt;"",J22&lt;=TODAY(),P22&lt;1,M22&lt;&gt;"Done")</formula>
    </cfRule>
  </conditionalFormatting>
  <conditionalFormatting sqref="H22">
    <cfRule type="cellIs" dxfId="943" priority="330" operator="equal">
      <formula>"Nicht buchbar!"</formula>
    </cfRule>
  </conditionalFormatting>
  <conditionalFormatting sqref="K23">
    <cfRule type="expression" priority="322">
      <formula>IF(M23="Done",TRUE,FALSE)</formula>
    </cfRule>
    <cfRule type="cellIs" dxfId="942" priority="324" operator="greaterThan">
      <formula>P23</formula>
    </cfRule>
    <cfRule type="dataBar" priority="329">
      <dataBar>
        <cfvo type="num" val="0"/>
        <cfvo type="num" val="1"/>
        <color rgb="FF9AC7F0"/>
      </dataBar>
      <extLst>
        <ext xmlns:x14="http://schemas.microsoft.com/office/spreadsheetml/2009/9/main" uri="{B025F937-C7B1-47D3-B67F-A62EFF666E3E}">
          <x14:id>{72E4D83E-EF31-4E27-9929-37309E0F96CC}</x14:id>
        </ext>
      </extLst>
    </cfRule>
  </conditionalFormatting>
  <conditionalFormatting sqref="K22">
    <cfRule type="dataBar" priority="327">
      <dataBar>
        <cfvo type="num" val="0"/>
        <cfvo type="num" val="1"/>
        <color rgb="FF9AC7F0"/>
      </dataBar>
      <extLst>
        <ext xmlns:x14="http://schemas.microsoft.com/office/spreadsheetml/2009/9/main" uri="{B025F937-C7B1-47D3-B67F-A62EFF666E3E}">
          <x14:id>{5283AE4E-FC58-494A-8629-A5E95404F1AF}</x14:id>
        </ext>
      </extLst>
    </cfRule>
    <cfRule type="notContainsBlanks" dxfId="941" priority="328">
      <formula>LEN(TRIM(K22))&gt;0</formula>
    </cfRule>
  </conditionalFormatting>
  <conditionalFormatting sqref="I23">
    <cfRule type="expression" dxfId="940" priority="326">
      <formula>AND(J23&lt;&gt;"",J23&lt;=TODAY(),P23&lt;1)</formula>
    </cfRule>
  </conditionalFormatting>
  <conditionalFormatting sqref="P23">
    <cfRule type="dataBar" priority="325">
      <dataBar>
        <cfvo type="num" val="0"/>
        <cfvo type="num" val="1"/>
        <color rgb="FF9AC7F0"/>
      </dataBar>
      <extLst>
        <ext xmlns:x14="http://schemas.microsoft.com/office/spreadsheetml/2009/9/main" uri="{B025F937-C7B1-47D3-B67F-A62EFF666E3E}">
          <x14:id>{7822F852-864C-41DF-8520-CE282265CE02}</x14:id>
        </ext>
      </extLst>
    </cfRule>
  </conditionalFormatting>
  <conditionalFormatting sqref="M23">
    <cfRule type="cellIs" dxfId="939" priority="319" operator="lessThan">
      <formula>0</formula>
    </cfRule>
    <cfRule type="cellIs" dxfId="938" priority="320" operator="lessThan">
      <formula>S23</formula>
    </cfRule>
    <cfRule type="cellIs" dxfId="937" priority="321" operator="lessThan">
      <formula>5</formula>
    </cfRule>
  </conditionalFormatting>
  <conditionalFormatting sqref="M23">
    <cfRule type="cellIs" dxfId="936" priority="318" operator="equal">
      <formula>"Done"</formula>
    </cfRule>
  </conditionalFormatting>
  <conditionalFormatting sqref="T27">
    <cfRule type="cellIs" dxfId="935" priority="305" operator="greaterThan">
      <formula>1</formula>
    </cfRule>
    <cfRule type="dataBar" priority="312">
      <dataBar>
        <cfvo type="num" val="0"/>
        <cfvo type="num" val="1"/>
        <color rgb="FF9AC7F0"/>
      </dataBar>
      <extLst>
        <ext xmlns:x14="http://schemas.microsoft.com/office/spreadsheetml/2009/9/main" uri="{B025F937-C7B1-47D3-B67F-A62EFF666E3E}">
          <x14:id>{CF25AEE2-A9CD-4BFE-8401-06E9B7AE7734}</x14:id>
        </ext>
      </extLst>
    </cfRule>
  </conditionalFormatting>
  <conditionalFormatting sqref="T29">
    <cfRule type="dataBar" priority="311">
      <dataBar>
        <cfvo type="num" val="0"/>
        <cfvo type="num" val="1"/>
        <color rgb="FF9AC7F0"/>
      </dataBar>
      <extLst>
        <ext xmlns:x14="http://schemas.microsoft.com/office/spreadsheetml/2009/9/main" uri="{B025F937-C7B1-47D3-B67F-A62EFF666E3E}">
          <x14:id>{A536A062-3764-49B7-9A48-F6DB0950B123}</x14:id>
        </ext>
      </extLst>
    </cfRule>
  </conditionalFormatting>
  <conditionalFormatting sqref="M27">
    <cfRule type="cellIs" dxfId="934" priority="296" operator="equal">
      <formula>"Done"</formula>
    </cfRule>
    <cfRule type="cellIs" dxfId="933" priority="313" operator="lessThan">
      <formula>0</formula>
    </cfRule>
    <cfRule type="cellIs" dxfId="932" priority="314" operator="lessThan">
      <formula>$S$12</formula>
    </cfRule>
    <cfRule type="cellIs" dxfId="931" priority="315" operator="lessThan">
      <formula>5</formula>
    </cfRule>
  </conditionalFormatting>
  <conditionalFormatting sqref="W27">
    <cfRule type="containsBlanks" dxfId="930" priority="307">
      <formula>LEN(TRIM(W27))=0</formula>
    </cfRule>
    <cfRule type="cellIs" dxfId="929" priority="309" operator="greaterThan">
      <formula>0</formula>
    </cfRule>
    <cfRule type="cellIs" dxfId="928" priority="310" operator="lessThanOrEqual">
      <formula>0</formula>
    </cfRule>
  </conditionalFormatting>
  <conditionalFormatting sqref="O28">
    <cfRule type="dataBar" priority="306">
      <dataBar>
        <cfvo type="num" val="0"/>
        <cfvo type="num" val="1"/>
        <color rgb="FF9AC7F0"/>
      </dataBar>
      <extLst>
        <ext xmlns:x14="http://schemas.microsoft.com/office/spreadsheetml/2009/9/main" uri="{B025F937-C7B1-47D3-B67F-A62EFF666E3E}">
          <x14:id>{C42CA7B3-1680-4E28-94CB-69375E97E53D}</x14:id>
        </ext>
      </extLst>
    </cfRule>
  </conditionalFormatting>
  <conditionalFormatting sqref="I27">
    <cfRule type="expression" dxfId="927" priority="304">
      <formula>AND(J27&lt;&gt;"",J27&lt;=TODAY(),P27&lt;1,M27&lt;&gt;"Done")</formula>
    </cfRule>
  </conditionalFormatting>
  <conditionalFormatting sqref="H27">
    <cfRule type="cellIs" dxfId="926" priority="303" operator="equal">
      <formula>"Nicht buchbar!"</formula>
    </cfRule>
  </conditionalFormatting>
  <conditionalFormatting sqref="K28">
    <cfRule type="expression" priority="295">
      <formula>IF(M28="Done",TRUE,FALSE)</formula>
    </cfRule>
    <cfRule type="cellIs" dxfId="925" priority="297" operator="greaterThan">
      <formula>P28</formula>
    </cfRule>
    <cfRule type="dataBar" priority="302">
      <dataBar>
        <cfvo type="num" val="0"/>
        <cfvo type="num" val="1"/>
        <color rgb="FF9AC7F0"/>
      </dataBar>
      <extLst>
        <ext xmlns:x14="http://schemas.microsoft.com/office/spreadsheetml/2009/9/main" uri="{B025F937-C7B1-47D3-B67F-A62EFF666E3E}">
          <x14:id>{C9B5C4BC-FC9F-4667-8B75-E4724D515E67}</x14:id>
        </ext>
      </extLst>
    </cfRule>
  </conditionalFormatting>
  <conditionalFormatting sqref="K27">
    <cfRule type="dataBar" priority="300">
      <dataBar>
        <cfvo type="num" val="0"/>
        <cfvo type="num" val="1"/>
        <color rgb="FF9AC7F0"/>
      </dataBar>
      <extLst>
        <ext xmlns:x14="http://schemas.microsoft.com/office/spreadsheetml/2009/9/main" uri="{B025F937-C7B1-47D3-B67F-A62EFF666E3E}">
          <x14:id>{3EB7EA06-D8E6-436E-ADB9-3E89DBF738E7}</x14:id>
        </ext>
      </extLst>
    </cfRule>
    <cfRule type="notContainsBlanks" dxfId="924" priority="301">
      <formula>LEN(TRIM(K27))&gt;0</formula>
    </cfRule>
  </conditionalFormatting>
  <conditionalFormatting sqref="I28">
    <cfRule type="expression" dxfId="923" priority="299">
      <formula>AND(J28&lt;&gt;"",J28&lt;=TODAY(),P28&lt;1)</formula>
    </cfRule>
  </conditionalFormatting>
  <conditionalFormatting sqref="P28">
    <cfRule type="dataBar" priority="298">
      <dataBar>
        <cfvo type="num" val="0"/>
        <cfvo type="num" val="1"/>
        <color rgb="FF9AC7F0"/>
      </dataBar>
      <extLst>
        <ext xmlns:x14="http://schemas.microsoft.com/office/spreadsheetml/2009/9/main" uri="{B025F937-C7B1-47D3-B67F-A62EFF666E3E}">
          <x14:id>{7DEBC0B5-250F-4F14-95C6-22BEB66DD2C0}</x14:id>
        </ext>
      </extLst>
    </cfRule>
  </conditionalFormatting>
  <conditionalFormatting sqref="M28">
    <cfRule type="cellIs" dxfId="922" priority="292" operator="lessThan">
      <formula>0</formula>
    </cfRule>
    <cfRule type="cellIs" dxfId="921" priority="293" operator="lessThan">
      <formula>S28</formula>
    </cfRule>
    <cfRule type="cellIs" dxfId="920" priority="294" operator="lessThan">
      <formula>5</formula>
    </cfRule>
  </conditionalFormatting>
  <conditionalFormatting sqref="M28">
    <cfRule type="cellIs" dxfId="919" priority="291" operator="equal">
      <formula>"Done"</formula>
    </cfRule>
  </conditionalFormatting>
  <conditionalFormatting sqref="T32">
    <cfRule type="cellIs" dxfId="918" priority="278" operator="greaterThan">
      <formula>1</formula>
    </cfRule>
    <cfRule type="dataBar" priority="285">
      <dataBar>
        <cfvo type="num" val="0"/>
        <cfvo type="num" val="1"/>
        <color rgb="FF9AC7F0"/>
      </dataBar>
      <extLst>
        <ext xmlns:x14="http://schemas.microsoft.com/office/spreadsheetml/2009/9/main" uri="{B025F937-C7B1-47D3-B67F-A62EFF666E3E}">
          <x14:id>{F038DFF0-0775-4763-BDC8-BE90105EC75B}</x14:id>
        </ext>
      </extLst>
    </cfRule>
  </conditionalFormatting>
  <conditionalFormatting sqref="T34">
    <cfRule type="dataBar" priority="284">
      <dataBar>
        <cfvo type="num" val="0"/>
        <cfvo type="num" val="1"/>
        <color rgb="FF9AC7F0"/>
      </dataBar>
      <extLst>
        <ext xmlns:x14="http://schemas.microsoft.com/office/spreadsheetml/2009/9/main" uri="{B025F937-C7B1-47D3-B67F-A62EFF666E3E}">
          <x14:id>{52849A9A-B2B4-42B9-A856-9F1ABF86BC00}</x14:id>
        </ext>
      </extLst>
    </cfRule>
  </conditionalFormatting>
  <conditionalFormatting sqref="M32">
    <cfRule type="cellIs" dxfId="917" priority="269" operator="equal">
      <formula>"Done"</formula>
    </cfRule>
    <cfRule type="cellIs" dxfId="916" priority="286" operator="lessThan">
      <formula>0</formula>
    </cfRule>
    <cfRule type="cellIs" dxfId="915" priority="287" operator="lessThan">
      <formula>$S$12</formula>
    </cfRule>
    <cfRule type="cellIs" dxfId="914" priority="288" operator="lessThan">
      <formula>5</formula>
    </cfRule>
  </conditionalFormatting>
  <conditionalFormatting sqref="W32">
    <cfRule type="containsBlanks" dxfId="913" priority="280">
      <formula>LEN(TRIM(W32))=0</formula>
    </cfRule>
    <cfRule type="cellIs" dxfId="912" priority="282" operator="greaterThan">
      <formula>0</formula>
    </cfRule>
    <cfRule type="cellIs" dxfId="911" priority="283" operator="lessThanOrEqual">
      <formula>0</formula>
    </cfRule>
  </conditionalFormatting>
  <conditionalFormatting sqref="O33">
    <cfRule type="dataBar" priority="279">
      <dataBar>
        <cfvo type="num" val="0"/>
        <cfvo type="num" val="1"/>
        <color rgb="FF9AC7F0"/>
      </dataBar>
      <extLst>
        <ext xmlns:x14="http://schemas.microsoft.com/office/spreadsheetml/2009/9/main" uri="{B025F937-C7B1-47D3-B67F-A62EFF666E3E}">
          <x14:id>{B873ED4F-958F-4884-BC8A-2AE2B1D0FE63}</x14:id>
        </ext>
      </extLst>
    </cfRule>
  </conditionalFormatting>
  <conditionalFormatting sqref="I32">
    <cfRule type="expression" dxfId="910" priority="277">
      <formula>AND(J32&lt;&gt;"",J32&lt;=TODAY(),P32&lt;1,M32&lt;&gt;"Done")</formula>
    </cfRule>
  </conditionalFormatting>
  <conditionalFormatting sqref="H32">
    <cfRule type="cellIs" dxfId="909" priority="276" operator="equal">
      <formula>"Nicht buchbar!"</formula>
    </cfRule>
  </conditionalFormatting>
  <conditionalFormatting sqref="K33">
    <cfRule type="expression" priority="268">
      <formula>IF(M33="Done",TRUE,FALSE)</formula>
    </cfRule>
    <cfRule type="cellIs" dxfId="908" priority="270" operator="greaterThan">
      <formula>P33</formula>
    </cfRule>
    <cfRule type="dataBar" priority="275">
      <dataBar>
        <cfvo type="num" val="0"/>
        <cfvo type="num" val="1"/>
        <color rgb="FF9AC7F0"/>
      </dataBar>
      <extLst>
        <ext xmlns:x14="http://schemas.microsoft.com/office/spreadsheetml/2009/9/main" uri="{B025F937-C7B1-47D3-B67F-A62EFF666E3E}">
          <x14:id>{7E3B6C85-CD3E-44B3-AC9C-6BF48720AF72}</x14:id>
        </ext>
      </extLst>
    </cfRule>
  </conditionalFormatting>
  <conditionalFormatting sqref="K32">
    <cfRule type="dataBar" priority="273">
      <dataBar>
        <cfvo type="num" val="0"/>
        <cfvo type="num" val="1"/>
        <color rgb="FF9AC7F0"/>
      </dataBar>
      <extLst>
        <ext xmlns:x14="http://schemas.microsoft.com/office/spreadsheetml/2009/9/main" uri="{B025F937-C7B1-47D3-B67F-A62EFF666E3E}">
          <x14:id>{7541ABE6-CE94-45B0-A92A-3F8D8A1D40D9}</x14:id>
        </ext>
      </extLst>
    </cfRule>
    <cfRule type="notContainsBlanks" dxfId="907" priority="274">
      <formula>LEN(TRIM(K32))&gt;0</formula>
    </cfRule>
  </conditionalFormatting>
  <conditionalFormatting sqref="I33">
    <cfRule type="expression" dxfId="906" priority="272">
      <formula>AND(J33&lt;&gt;"",J33&lt;=TODAY(),P33&lt;1)</formula>
    </cfRule>
  </conditionalFormatting>
  <conditionalFormatting sqref="P33">
    <cfRule type="dataBar" priority="271">
      <dataBar>
        <cfvo type="num" val="0"/>
        <cfvo type="num" val="1"/>
        <color rgb="FF9AC7F0"/>
      </dataBar>
      <extLst>
        <ext xmlns:x14="http://schemas.microsoft.com/office/spreadsheetml/2009/9/main" uri="{B025F937-C7B1-47D3-B67F-A62EFF666E3E}">
          <x14:id>{FD424797-ABF8-43EA-B825-65834915FEB4}</x14:id>
        </ext>
      </extLst>
    </cfRule>
  </conditionalFormatting>
  <conditionalFormatting sqref="M33">
    <cfRule type="cellIs" dxfId="905" priority="265" operator="lessThan">
      <formula>0</formula>
    </cfRule>
    <cfRule type="cellIs" dxfId="904" priority="266" operator="lessThan">
      <formula>S33</formula>
    </cfRule>
    <cfRule type="cellIs" dxfId="903" priority="267" operator="lessThan">
      <formula>5</formula>
    </cfRule>
  </conditionalFormatting>
  <conditionalFormatting sqref="M33">
    <cfRule type="cellIs" dxfId="902" priority="264" operator="equal">
      <formula>"Done"</formula>
    </cfRule>
  </conditionalFormatting>
  <conditionalFormatting sqref="T37">
    <cfRule type="cellIs" dxfId="901" priority="251" operator="greaterThan">
      <formula>1</formula>
    </cfRule>
    <cfRule type="dataBar" priority="258">
      <dataBar>
        <cfvo type="num" val="0"/>
        <cfvo type="num" val="1"/>
        <color rgb="FF9AC7F0"/>
      </dataBar>
      <extLst>
        <ext xmlns:x14="http://schemas.microsoft.com/office/spreadsheetml/2009/9/main" uri="{B025F937-C7B1-47D3-B67F-A62EFF666E3E}">
          <x14:id>{F4D65930-E13E-4BAE-92FA-2855AC5D583F}</x14:id>
        </ext>
      </extLst>
    </cfRule>
  </conditionalFormatting>
  <conditionalFormatting sqref="T39">
    <cfRule type="dataBar" priority="257">
      <dataBar>
        <cfvo type="num" val="0"/>
        <cfvo type="num" val="1"/>
        <color rgb="FF9AC7F0"/>
      </dataBar>
      <extLst>
        <ext xmlns:x14="http://schemas.microsoft.com/office/spreadsheetml/2009/9/main" uri="{B025F937-C7B1-47D3-B67F-A62EFF666E3E}">
          <x14:id>{AE39997E-2A76-424D-B307-F8253EBD9087}</x14:id>
        </ext>
      </extLst>
    </cfRule>
  </conditionalFormatting>
  <conditionalFormatting sqref="M37">
    <cfRule type="cellIs" dxfId="900" priority="242" operator="equal">
      <formula>"Done"</formula>
    </cfRule>
    <cfRule type="cellIs" dxfId="899" priority="259" operator="lessThan">
      <formula>0</formula>
    </cfRule>
    <cfRule type="cellIs" dxfId="898" priority="260" operator="lessThan">
      <formula>$S$12</formula>
    </cfRule>
    <cfRule type="cellIs" dxfId="897" priority="261" operator="lessThan">
      <formula>5</formula>
    </cfRule>
  </conditionalFormatting>
  <conditionalFormatting sqref="W37">
    <cfRule type="containsBlanks" dxfId="896" priority="253">
      <formula>LEN(TRIM(W37))=0</formula>
    </cfRule>
    <cfRule type="cellIs" dxfId="895" priority="255" operator="greaterThan">
      <formula>0</formula>
    </cfRule>
    <cfRule type="cellIs" dxfId="894" priority="256" operator="lessThanOrEqual">
      <formula>0</formula>
    </cfRule>
  </conditionalFormatting>
  <conditionalFormatting sqref="O38">
    <cfRule type="dataBar" priority="252">
      <dataBar>
        <cfvo type="num" val="0"/>
        <cfvo type="num" val="1"/>
        <color rgb="FF9AC7F0"/>
      </dataBar>
      <extLst>
        <ext xmlns:x14="http://schemas.microsoft.com/office/spreadsheetml/2009/9/main" uri="{B025F937-C7B1-47D3-B67F-A62EFF666E3E}">
          <x14:id>{FE003112-086D-4DF1-AC15-85B36F23B2BD}</x14:id>
        </ext>
      </extLst>
    </cfRule>
  </conditionalFormatting>
  <conditionalFormatting sqref="I37">
    <cfRule type="expression" dxfId="893" priority="250">
      <formula>AND(J37&lt;&gt;"",J37&lt;=TODAY(),P37&lt;1,M37&lt;&gt;"Done")</formula>
    </cfRule>
  </conditionalFormatting>
  <conditionalFormatting sqref="H37">
    <cfRule type="cellIs" dxfId="892" priority="249" operator="equal">
      <formula>"Nicht buchbar!"</formula>
    </cfRule>
  </conditionalFormatting>
  <conditionalFormatting sqref="K38">
    <cfRule type="expression" priority="241">
      <formula>IF(M38="Done",TRUE,FALSE)</formula>
    </cfRule>
    <cfRule type="cellIs" dxfId="891" priority="243" operator="greaterThan">
      <formula>P38</formula>
    </cfRule>
    <cfRule type="dataBar" priority="248">
      <dataBar>
        <cfvo type="num" val="0"/>
        <cfvo type="num" val="1"/>
        <color rgb="FF9AC7F0"/>
      </dataBar>
      <extLst>
        <ext xmlns:x14="http://schemas.microsoft.com/office/spreadsheetml/2009/9/main" uri="{B025F937-C7B1-47D3-B67F-A62EFF666E3E}">
          <x14:id>{C219B9BC-33CE-4E73-8DC1-052E64C88DB1}</x14:id>
        </ext>
      </extLst>
    </cfRule>
  </conditionalFormatting>
  <conditionalFormatting sqref="K37">
    <cfRule type="dataBar" priority="246">
      <dataBar>
        <cfvo type="num" val="0"/>
        <cfvo type="num" val="1"/>
        <color rgb="FF9AC7F0"/>
      </dataBar>
      <extLst>
        <ext xmlns:x14="http://schemas.microsoft.com/office/spreadsheetml/2009/9/main" uri="{B025F937-C7B1-47D3-B67F-A62EFF666E3E}">
          <x14:id>{64F09695-BA1F-431A-92D6-593B877236CE}</x14:id>
        </ext>
      </extLst>
    </cfRule>
    <cfRule type="notContainsBlanks" dxfId="890" priority="247">
      <formula>LEN(TRIM(K37))&gt;0</formula>
    </cfRule>
  </conditionalFormatting>
  <conditionalFormatting sqref="I38">
    <cfRule type="expression" dxfId="889" priority="245">
      <formula>AND(J38&lt;&gt;"",J38&lt;=TODAY(),P38&lt;1)</formula>
    </cfRule>
  </conditionalFormatting>
  <conditionalFormatting sqref="P38">
    <cfRule type="dataBar" priority="244">
      <dataBar>
        <cfvo type="num" val="0"/>
        <cfvo type="num" val="1"/>
        <color rgb="FF9AC7F0"/>
      </dataBar>
      <extLst>
        <ext xmlns:x14="http://schemas.microsoft.com/office/spreadsheetml/2009/9/main" uri="{B025F937-C7B1-47D3-B67F-A62EFF666E3E}">
          <x14:id>{CD5F967E-50AC-4D5B-A36A-0EBEBD2B7DFF}</x14:id>
        </ext>
      </extLst>
    </cfRule>
  </conditionalFormatting>
  <conditionalFormatting sqref="M38">
    <cfRule type="cellIs" dxfId="888" priority="238" operator="lessThan">
      <formula>0</formula>
    </cfRule>
    <cfRule type="cellIs" dxfId="887" priority="239" operator="lessThan">
      <formula>S38</formula>
    </cfRule>
    <cfRule type="cellIs" dxfId="886" priority="240" operator="lessThan">
      <formula>5</formula>
    </cfRule>
  </conditionalFormatting>
  <conditionalFormatting sqref="M38">
    <cfRule type="cellIs" dxfId="885" priority="237" operator="equal">
      <formula>"Done"</formula>
    </cfRule>
  </conditionalFormatting>
  <conditionalFormatting sqref="T42">
    <cfRule type="cellIs" dxfId="884" priority="224" operator="greaterThan">
      <formula>1</formula>
    </cfRule>
    <cfRule type="dataBar" priority="231">
      <dataBar>
        <cfvo type="num" val="0"/>
        <cfvo type="num" val="1"/>
        <color rgb="FF9AC7F0"/>
      </dataBar>
      <extLst>
        <ext xmlns:x14="http://schemas.microsoft.com/office/spreadsheetml/2009/9/main" uri="{B025F937-C7B1-47D3-B67F-A62EFF666E3E}">
          <x14:id>{A296C54C-60EE-4D16-AF6B-6E3DDB872C08}</x14:id>
        </ext>
      </extLst>
    </cfRule>
  </conditionalFormatting>
  <conditionalFormatting sqref="T44">
    <cfRule type="dataBar" priority="230">
      <dataBar>
        <cfvo type="num" val="0"/>
        <cfvo type="num" val="1"/>
        <color rgb="FF9AC7F0"/>
      </dataBar>
      <extLst>
        <ext xmlns:x14="http://schemas.microsoft.com/office/spreadsheetml/2009/9/main" uri="{B025F937-C7B1-47D3-B67F-A62EFF666E3E}">
          <x14:id>{67122014-4329-4D54-9C15-CF1D1ABABE25}</x14:id>
        </ext>
      </extLst>
    </cfRule>
  </conditionalFormatting>
  <conditionalFormatting sqref="M42">
    <cfRule type="cellIs" dxfId="883" priority="215" operator="equal">
      <formula>"Done"</formula>
    </cfRule>
    <cfRule type="cellIs" dxfId="882" priority="232" operator="lessThan">
      <formula>0</formula>
    </cfRule>
    <cfRule type="cellIs" dxfId="881" priority="233" operator="lessThan">
      <formula>$S$12</formula>
    </cfRule>
    <cfRule type="cellIs" dxfId="880" priority="234" operator="lessThan">
      <formula>5</formula>
    </cfRule>
  </conditionalFormatting>
  <conditionalFormatting sqref="W42">
    <cfRule type="containsBlanks" dxfId="879" priority="226">
      <formula>LEN(TRIM(W42))=0</formula>
    </cfRule>
    <cfRule type="cellIs" dxfId="878" priority="228" operator="greaterThan">
      <formula>0</formula>
    </cfRule>
    <cfRule type="cellIs" dxfId="877" priority="229" operator="lessThanOrEqual">
      <formula>0</formula>
    </cfRule>
  </conditionalFormatting>
  <conditionalFormatting sqref="O43">
    <cfRule type="dataBar" priority="225">
      <dataBar>
        <cfvo type="num" val="0"/>
        <cfvo type="num" val="1"/>
        <color rgb="FF9AC7F0"/>
      </dataBar>
      <extLst>
        <ext xmlns:x14="http://schemas.microsoft.com/office/spreadsheetml/2009/9/main" uri="{B025F937-C7B1-47D3-B67F-A62EFF666E3E}">
          <x14:id>{0FC463E5-84B1-408B-B1FF-EE0FAACDB849}</x14:id>
        </ext>
      </extLst>
    </cfRule>
  </conditionalFormatting>
  <conditionalFormatting sqref="I42">
    <cfRule type="expression" dxfId="876" priority="223">
      <formula>AND(J42&lt;&gt;"",J42&lt;=TODAY(),P42&lt;1,M42&lt;&gt;"Done")</formula>
    </cfRule>
  </conditionalFormatting>
  <conditionalFormatting sqref="H42">
    <cfRule type="cellIs" dxfId="875" priority="222" operator="equal">
      <formula>"Nicht buchbar!"</formula>
    </cfRule>
  </conditionalFormatting>
  <conditionalFormatting sqref="K43">
    <cfRule type="expression" priority="214">
      <formula>IF(M43="Done",TRUE,FALSE)</formula>
    </cfRule>
    <cfRule type="cellIs" dxfId="874" priority="216" operator="greaterThan">
      <formula>P43</formula>
    </cfRule>
    <cfRule type="dataBar" priority="221">
      <dataBar>
        <cfvo type="num" val="0"/>
        <cfvo type="num" val="1"/>
        <color rgb="FF9AC7F0"/>
      </dataBar>
      <extLst>
        <ext xmlns:x14="http://schemas.microsoft.com/office/spreadsheetml/2009/9/main" uri="{B025F937-C7B1-47D3-B67F-A62EFF666E3E}">
          <x14:id>{3256A9A8-2119-4746-8738-F88F5148A4B0}</x14:id>
        </ext>
      </extLst>
    </cfRule>
  </conditionalFormatting>
  <conditionalFormatting sqref="K42">
    <cfRule type="dataBar" priority="219">
      <dataBar>
        <cfvo type="num" val="0"/>
        <cfvo type="num" val="1"/>
        <color rgb="FF9AC7F0"/>
      </dataBar>
      <extLst>
        <ext xmlns:x14="http://schemas.microsoft.com/office/spreadsheetml/2009/9/main" uri="{B025F937-C7B1-47D3-B67F-A62EFF666E3E}">
          <x14:id>{FFB59E70-1E33-4F97-B031-23A892590A3D}</x14:id>
        </ext>
      </extLst>
    </cfRule>
    <cfRule type="notContainsBlanks" dxfId="873" priority="220">
      <formula>LEN(TRIM(K42))&gt;0</formula>
    </cfRule>
  </conditionalFormatting>
  <conditionalFormatting sqref="I43">
    <cfRule type="expression" dxfId="872" priority="218">
      <formula>AND(J43&lt;&gt;"",J43&lt;=TODAY(),P43&lt;1)</formula>
    </cfRule>
  </conditionalFormatting>
  <conditionalFormatting sqref="P43">
    <cfRule type="dataBar" priority="217">
      <dataBar>
        <cfvo type="num" val="0"/>
        <cfvo type="num" val="1"/>
        <color rgb="FF9AC7F0"/>
      </dataBar>
      <extLst>
        <ext xmlns:x14="http://schemas.microsoft.com/office/spreadsheetml/2009/9/main" uri="{B025F937-C7B1-47D3-B67F-A62EFF666E3E}">
          <x14:id>{74F91B27-A48B-4B51-AF4B-2FDE8A164EED}</x14:id>
        </ext>
      </extLst>
    </cfRule>
  </conditionalFormatting>
  <conditionalFormatting sqref="M43">
    <cfRule type="cellIs" dxfId="871" priority="211" operator="lessThan">
      <formula>0</formula>
    </cfRule>
    <cfRule type="cellIs" dxfId="870" priority="212" operator="lessThan">
      <formula>S43</formula>
    </cfRule>
    <cfRule type="cellIs" dxfId="869" priority="213" operator="lessThan">
      <formula>5</formula>
    </cfRule>
  </conditionalFormatting>
  <conditionalFormatting sqref="M43">
    <cfRule type="cellIs" dxfId="868" priority="210" operator="equal">
      <formula>"Done"</formula>
    </cfRule>
  </conditionalFormatting>
  <conditionalFormatting sqref="T47">
    <cfRule type="cellIs" dxfId="867" priority="197" operator="greaterThan">
      <formula>1</formula>
    </cfRule>
    <cfRule type="dataBar" priority="204">
      <dataBar>
        <cfvo type="num" val="0"/>
        <cfvo type="num" val="1"/>
        <color rgb="FF9AC7F0"/>
      </dataBar>
      <extLst>
        <ext xmlns:x14="http://schemas.microsoft.com/office/spreadsheetml/2009/9/main" uri="{B025F937-C7B1-47D3-B67F-A62EFF666E3E}">
          <x14:id>{A6F220C3-D266-46B2-91C9-44D673D27BDE}</x14:id>
        </ext>
      </extLst>
    </cfRule>
  </conditionalFormatting>
  <conditionalFormatting sqref="T49">
    <cfRule type="dataBar" priority="203">
      <dataBar>
        <cfvo type="num" val="0"/>
        <cfvo type="num" val="1"/>
        <color rgb="FF9AC7F0"/>
      </dataBar>
      <extLst>
        <ext xmlns:x14="http://schemas.microsoft.com/office/spreadsheetml/2009/9/main" uri="{B025F937-C7B1-47D3-B67F-A62EFF666E3E}">
          <x14:id>{CF137A02-3A1A-4061-A76E-F14B7D2879A5}</x14:id>
        </ext>
      </extLst>
    </cfRule>
  </conditionalFormatting>
  <conditionalFormatting sqref="M47">
    <cfRule type="cellIs" dxfId="866" priority="188" operator="equal">
      <formula>"Done"</formula>
    </cfRule>
    <cfRule type="cellIs" dxfId="865" priority="205" operator="lessThan">
      <formula>0</formula>
    </cfRule>
    <cfRule type="cellIs" dxfId="864" priority="206" operator="lessThan">
      <formula>$S$12</formula>
    </cfRule>
    <cfRule type="cellIs" dxfId="863" priority="207" operator="lessThan">
      <formula>5</formula>
    </cfRule>
  </conditionalFormatting>
  <conditionalFormatting sqref="W47">
    <cfRule type="containsBlanks" dxfId="862" priority="199">
      <formula>LEN(TRIM(W47))=0</formula>
    </cfRule>
    <cfRule type="cellIs" dxfId="861" priority="201" operator="greaterThan">
      <formula>0</formula>
    </cfRule>
    <cfRule type="cellIs" dxfId="860" priority="202" operator="lessThanOrEqual">
      <formula>0</formula>
    </cfRule>
  </conditionalFormatting>
  <conditionalFormatting sqref="O48">
    <cfRule type="dataBar" priority="198">
      <dataBar>
        <cfvo type="num" val="0"/>
        <cfvo type="num" val="1"/>
        <color rgb="FF9AC7F0"/>
      </dataBar>
      <extLst>
        <ext xmlns:x14="http://schemas.microsoft.com/office/spreadsheetml/2009/9/main" uri="{B025F937-C7B1-47D3-B67F-A62EFF666E3E}">
          <x14:id>{89A19250-F129-4F38-BB5C-5EFEBAAF4CB0}</x14:id>
        </ext>
      </extLst>
    </cfRule>
  </conditionalFormatting>
  <conditionalFormatting sqref="I47">
    <cfRule type="expression" dxfId="859" priority="196">
      <formula>AND(J47&lt;&gt;"",J47&lt;=TODAY(),P47&lt;1,M47&lt;&gt;"Done")</formula>
    </cfRule>
  </conditionalFormatting>
  <conditionalFormatting sqref="H47">
    <cfRule type="cellIs" dxfId="858" priority="195" operator="equal">
      <formula>"Nicht buchbar!"</formula>
    </cfRule>
  </conditionalFormatting>
  <conditionalFormatting sqref="K48">
    <cfRule type="expression" priority="187">
      <formula>IF(M48="Done",TRUE,FALSE)</formula>
    </cfRule>
    <cfRule type="cellIs" dxfId="857" priority="189" operator="greaterThan">
      <formula>P48</formula>
    </cfRule>
    <cfRule type="dataBar" priority="194">
      <dataBar>
        <cfvo type="num" val="0"/>
        <cfvo type="num" val="1"/>
        <color rgb="FF9AC7F0"/>
      </dataBar>
      <extLst>
        <ext xmlns:x14="http://schemas.microsoft.com/office/spreadsheetml/2009/9/main" uri="{B025F937-C7B1-47D3-B67F-A62EFF666E3E}">
          <x14:id>{83D8918E-E53E-43D9-AE84-487B15ABC1DB}</x14:id>
        </ext>
      </extLst>
    </cfRule>
  </conditionalFormatting>
  <conditionalFormatting sqref="K47">
    <cfRule type="dataBar" priority="192">
      <dataBar>
        <cfvo type="num" val="0"/>
        <cfvo type="num" val="1"/>
        <color rgb="FF9AC7F0"/>
      </dataBar>
      <extLst>
        <ext xmlns:x14="http://schemas.microsoft.com/office/spreadsheetml/2009/9/main" uri="{B025F937-C7B1-47D3-B67F-A62EFF666E3E}">
          <x14:id>{D2E9FD97-40D5-4968-82C7-22071247CCAE}</x14:id>
        </ext>
      </extLst>
    </cfRule>
    <cfRule type="notContainsBlanks" dxfId="856" priority="193">
      <formula>LEN(TRIM(K47))&gt;0</formula>
    </cfRule>
  </conditionalFormatting>
  <conditionalFormatting sqref="I48">
    <cfRule type="expression" dxfId="855" priority="191">
      <formula>AND(J48&lt;&gt;"",J48&lt;=TODAY(),P48&lt;1)</formula>
    </cfRule>
  </conditionalFormatting>
  <conditionalFormatting sqref="P48">
    <cfRule type="dataBar" priority="190">
      <dataBar>
        <cfvo type="num" val="0"/>
        <cfvo type="num" val="1"/>
        <color rgb="FF9AC7F0"/>
      </dataBar>
      <extLst>
        <ext xmlns:x14="http://schemas.microsoft.com/office/spreadsheetml/2009/9/main" uri="{B025F937-C7B1-47D3-B67F-A62EFF666E3E}">
          <x14:id>{543C13F1-F227-4C9E-809C-EC05BC98FB0B}</x14:id>
        </ext>
      </extLst>
    </cfRule>
  </conditionalFormatting>
  <conditionalFormatting sqref="M48">
    <cfRule type="cellIs" dxfId="854" priority="184" operator="lessThan">
      <formula>0</formula>
    </cfRule>
    <cfRule type="cellIs" dxfId="853" priority="185" operator="lessThan">
      <formula>S48</formula>
    </cfRule>
    <cfRule type="cellIs" dxfId="852" priority="186" operator="lessThan">
      <formula>5</formula>
    </cfRule>
  </conditionalFormatting>
  <conditionalFormatting sqref="M48">
    <cfRule type="cellIs" dxfId="851" priority="183" operator="equal">
      <formula>"Done"</formula>
    </cfRule>
  </conditionalFormatting>
  <conditionalFormatting sqref="T52">
    <cfRule type="cellIs" dxfId="850" priority="170" operator="greaterThan">
      <formula>1</formula>
    </cfRule>
    <cfRule type="dataBar" priority="177">
      <dataBar>
        <cfvo type="num" val="0"/>
        <cfvo type="num" val="1"/>
        <color rgb="FF9AC7F0"/>
      </dataBar>
      <extLst>
        <ext xmlns:x14="http://schemas.microsoft.com/office/spreadsheetml/2009/9/main" uri="{B025F937-C7B1-47D3-B67F-A62EFF666E3E}">
          <x14:id>{AA3DA05C-F70D-4F74-8A67-324E12B1EEC7}</x14:id>
        </ext>
      </extLst>
    </cfRule>
  </conditionalFormatting>
  <conditionalFormatting sqref="T54">
    <cfRule type="dataBar" priority="176">
      <dataBar>
        <cfvo type="num" val="0"/>
        <cfvo type="num" val="1"/>
        <color rgb="FF9AC7F0"/>
      </dataBar>
      <extLst>
        <ext xmlns:x14="http://schemas.microsoft.com/office/spreadsheetml/2009/9/main" uri="{B025F937-C7B1-47D3-B67F-A62EFF666E3E}">
          <x14:id>{29F497F7-B181-494B-ABF1-0F82AD5ECE81}</x14:id>
        </ext>
      </extLst>
    </cfRule>
  </conditionalFormatting>
  <conditionalFormatting sqref="M52">
    <cfRule type="cellIs" dxfId="849" priority="161" operator="equal">
      <formula>"Done"</formula>
    </cfRule>
    <cfRule type="cellIs" dxfId="848" priority="178" operator="lessThan">
      <formula>0</formula>
    </cfRule>
    <cfRule type="cellIs" dxfId="847" priority="179" operator="lessThan">
      <formula>$S$12</formula>
    </cfRule>
    <cfRule type="cellIs" dxfId="846" priority="180" operator="lessThan">
      <formula>5</formula>
    </cfRule>
  </conditionalFormatting>
  <conditionalFormatting sqref="W52">
    <cfRule type="containsBlanks" dxfId="845" priority="172">
      <formula>LEN(TRIM(W52))=0</formula>
    </cfRule>
    <cfRule type="cellIs" dxfId="844" priority="174" operator="greaterThan">
      <formula>0</formula>
    </cfRule>
    <cfRule type="cellIs" dxfId="843" priority="175" operator="lessThanOrEqual">
      <formula>0</formula>
    </cfRule>
  </conditionalFormatting>
  <conditionalFormatting sqref="O53">
    <cfRule type="dataBar" priority="171">
      <dataBar>
        <cfvo type="num" val="0"/>
        <cfvo type="num" val="1"/>
        <color rgb="FF9AC7F0"/>
      </dataBar>
      <extLst>
        <ext xmlns:x14="http://schemas.microsoft.com/office/spreadsheetml/2009/9/main" uri="{B025F937-C7B1-47D3-B67F-A62EFF666E3E}">
          <x14:id>{5C3FE44A-2002-473B-BA73-738F85F48267}</x14:id>
        </ext>
      </extLst>
    </cfRule>
  </conditionalFormatting>
  <conditionalFormatting sqref="I52">
    <cfRule type="expression" dxfId="842" priority="169">
      <formula>AND(J52&lt;&gt;"",J52&lt;=TODAY(),P52&lt;1,M52&lt;&gt;"Done")</formula>
    </cfRule>
  </conditionalFormatting>
  <conditionalFormatting sqref="H52">
    <cfRule type="cellIs" dxfId="841" priority="168" operator="equal">
      <formula>"Nicht buchbar!"</formula>
    </cfRule>
  </conditionalFormatting>
  <conditionalFormatting sqref="K53">
    <cfRule type="expression" priority="160">
      <formula>IF(M53="Done",TRUE,FALSE)</formula>
    </cfRule>
    <cfRule type="cellIs" dxfId="840" priority="162" operator="greaterThan">
      <formula>P53</formula>
    </cfRule>
    <cfRule type="dataBar" priority="167">
      <dataBar>
        <cfvo type="num" val="0"/>
        <cfvo type="num" val="1"/>
        <color rgb="FF9AC7F0"/>
      </dataBar>
      <extLst>
        <ext xmlns:x14="http://schemas.microsoft.com/office/spreadsheetml/2009/9/main" uri="{B025F937-C7B1-47D3-B67F-A62EFF666E3E}">
          <x14:id>{BE3678A7-FA13-4A2B-8755-6F7B4C9D1FDA}</x14:id>
        </ext>
      </extLst>
    </cfRule>
  </conditionalFormatting>
  <conditionalFormatting sqref="K52">
    <cfRule type="dataBar" priority="165">
      <dataBar>
        <cfvo type="num" val="0"/>
        <cfvo type="num" val="1"/>
        <color rgb="FF9AC7F0"/>
      </dataBar>
      <extLst>
        <ext xmlns:x14="http://schemas.microsoft.com/office/spreadsheetml/2009/9/main" uri="{B025F937-C7B1-47D3-B67F-A62EFF666E3E}">
          <x14:id>{72F2BE66-08F3-4B93-B7A7-4AA21FEBF1D3}</x14:id>
        </ext>
      </extLst>
    </cfRule>
    <cfRule type="notContainsBlanks" dxfId="839" priority="166">
      <formula>LEN(TRIM(K52))&gt;0</formula>
    </cfRule>
  </conditionalFormatting>
  <conditionalFormatting sqref="I53">
    <cfRule type="expression" dxfId="838" priority="164">
      <formula>AND(J53&lt;&gt;"",J53&lt;=TODAY(),P53&lt;1)</formula>
    </cfRule>
  </conditionalFormatting>
  <conditionalFormatting sqref="P53">
    <cfRule type="dataBar" priority="163">
      <dataBar>
        <cfvo type="num" val="0"/>
        <cfvo type="num" val="1"/>
        <color rgb="FF9AC7F0"/>
      </dataBar>
      <extLst>
        <ext xmlns:x14="http://schemas.microsoft.com/office/spreadsheetml/2009/9/main" uri="{B025F937-C7B1-47D3-B67F-A62EFF666E3E}">
          <x14:id>{BE3E1056-3B41-4C61-BB0A-2ED2618A6136}</x14:id>
        </ext>
      </extLst>
    </cfRule>
  </conditionalFormatting>
  <conditionalFormatting sqref="M53">
    <cfRule type="cellIs" dxfId="837" priority="157" operator="lessThan">
      <formula>0</formula>
    </cfRule>
    <cfRule type="cellIs" dxfId="836" priority="158" operator="lessThan">
      <formula>S53</formula>
    </cfRule>
    <cfRule type="cellIs" dxfId="835" priority="159" operator="lessThan">
      <formula>5</formula>
    </cfRule>
  </conditionalFormatting>
  <conditionalFormatting sqref="M53">
    <cfRule type="cellIs" dxfId="834" priority="156" operator="equal">
      <formula>"Done"</formula>
    </cfRule>
  </conditionalFormatting>
  <conditionalFormatting sqref="T147">
    <cfRule type="cellIs" dxfId="833" priority="144" operator="greaterThan">
      <formula>1</formula>
    </cfRule>
    <cfRule type="dataBar" priority="152">
      <dataBar>
        <cfvo type="num" val="0"/>
        <cfvo type="num" val="1"/>
        <color rgb="FF9AC7F0"/>
      </dataBar>
      <extLst>
        <ext xmlns:x14="http://schemas.microsoft.com/office/spreadsheetml/2009/9/main" uri="{B025F937-C7B1-47D3-B67F-A62EFF666E3E}">
          <x14:id>{37553F79-348C-44D4-AF3F-2F7425F80ABD}</x14:id>
        </ext>
      </extLst>
    </cfRule>
  </conditionalFormatting>
  <conditionalFormatting sqref="T153">
    <cfRule type="dataBar" priority="151">
      <dataBar>
        <cfvo type="num" val="0"/>
        <cfvo type="num" val="1"/>
        <color rgb="FF9AC7F0"/>
      </dataBar>
      <extLst>
        <ext xmlns:x14="http://schemas.microsoft.com/office/spreadsheetml/2009/9/main" uri="{B025F937-C7B1-47D3-B67F-A62EFF666E3E}">
          <x14:id>{E7D02E8F-F063-4455-9E61-7B8EC1685D95}</x14:id>
        </ext>
      </extLst>
    </cfRule>
  </conditionalFormatting>
  <conditionalFormatting sqref="W147">
    <cfRule type="containsBlanks" dxfId="832" priority="146">
      <formula>LEN(TRIM(W147))=0</formula>
    </cfRule>
    <cfRule type="cellIs" dxfId="831" priority="148" operator="greaterThan">
      <formula>0</formula>
    </cfRule>
    <cfRule type="cellIs" dxfId="830" priority="149" operator="lessThanOrEqual">
      <formula>0</formula>
    </cfRule>
  </conditionalFormatting>
  <conditionalFormatting sqref="H147">
    <cfRule type="cellIs" dxfId="829" priority="143" operator="equal">
      <formula>"Nicht buchbar!"</formula>
    </cfRule>
  </conditionalFormatting>
  <conditionalFormatting sqref="I147">
    <cfRule type="expression" dxfId="828" priority="142">
      <formula>AND(J147&lt;&gt;"",J147&lt;=TODAY(),P147&lt;1)</formula>
    </cfRule>
  </conditionalFormatting>
  <conditionalFormatting sqref="K147">
    <cfRule type="dataBar" priority="141">
      <dataBar>
        <cfvo type="num" val="0"/>
        <cfvo type="num" val="1"/>
        <color rgb="FF9AC7F0"/>
      </dataBar>
      <extLst>
        <ext xmlns:x14="http://schemas.microsoft.com/office/spreadsheetml/2009/9/main" uri="{B025F937-C7B1-47D3-B67F-A62EFF666E3E}">
          <x14:id>{737824F7-4739-46EA-982A-DC5C74A77B97}</x14:id>
        </ext>
      </extLst>
    </cfRule>
    <cfRule type="notContainsBlanks" dxfId="827" priority="153">
      <formula>LEN(TRIM(K147))&gt;0</formula>
    </cfRule>
  </conditionalFormatting>
  <conditionalFormatting sqref="I152">
    <cfRule type="expression" dxfId="826" priority="140">
      <formula>AND(J152&lt;&gt;"",J152&lt;=TODAY(),P152&lt;1)</formula>
    </cfRule>
  </conditionalFormatting>
  <conditionalFormatting sqref="O152">
    <cfRule type="dataBar" priority="139">
      <dataBar>
        <cfvo type="num" val="0"/>
        <cfvo type="num" val="1"/>
        <color rgb="FF9AC7F0"/>
      </dataBar>
      <extLst>
        <ext xmlns:x14="http://schemas.microsoft.com/office/spreadsheetml/2009/9/main" uri="{B025F937-C7B1-47D3-B67F-A62EFF666E3E}">
          <x14:id>{D9D27C01-C9FF-447E-B837-05BB0E3EDACD}</x14:id>
        </ext>
      </extLst>
    </cfRule>
  </conditionalFormatting>
  <conditionalFormatting sqref="P152">
    <cfRule type="dataBar" priority="138">
      <dataBar>
        <cfvo type="num" val="0"/>
        <cfvo type="num" val="1"/>
        <color rgb="FF9AC7F0"/>
      </dataBar>
      <extLst>
        <ext xmlns:x14="http://schemas.microsoft.com/office/spreadsheetml/2009/9/main" uri="{B025F937-C7B1-47D3-B67F-A62EFF666E3E}">
          <x14:id>{39727DE6-5460-46C9-8138-1C38401304D2}</x14:id>
        </ext>
      </extLst>
    </cfRule>
  </conditionalFormatting>
  <conditionalFormatting sqref="M147">
    <cfRule type="cellIs" dxfId="825" priority="134" operator="lessThan">
      <formula>0</formula>
    </cfRule>
    <cfRule type="cellIs" dxfId="824" priority="135" operator="lessThan">
      <formula>T147</formula>
    </cfRule>
    <cfRule type="cellIs" dxfId="823" priority="136" operator="lessThan">
      <formula>5</formula>
    </cfRule>
  </conditionalFormatting>
  <conditionalFormatting sqref="M147">
    <cfRule type="cellIs" dxfId="822" priority="133" operator="equal">
      <formula>"Done"</formula>
    </cfRule>
    <cfRule type="notContainsBlanks" dxfId="821" priority="137">
      <formula>LEN(TRIM(M147))&gt;0</formula>
    </cfRule>
  </conditionalFormatting>
  <conditionalFormatting sqref="K152">
    <cfRule type="expression" priority="130">
      <formula>IF(M152="Done",TRUE,FALSE)</formula>
    </cfRule>
    <cfRule type="cellIs" dxfId="820" priority="131" operator="greaterThan">
      <formula>P152</formula>
    </cfRule>
    <cfRule type="dataBar" priority="132">
      <dataBar>
        <cfvo type="num" val="0"/>
        <cfvo type="num" val="1"/>
        <color rgb="FF9AC7F0"/>
      </dataBar>
      <extLst>
        <ext xmlns:x14="http://schemas.microsoft.com/office/spreadsheetml/2009/9/main" uri="{B025F937-C7B1-47D3-B67F-A62EFF666E3E}">
          <x14:id>{9A0407E0-6096-48F0-AAEB-AAB723493407}</x14:id>
        </ext>
      </extLst>
    </cfRule>
  </conditionalFormatting>
  <conditionalFormatting sqref="M152">
    <cfRule type="cellIs" dxfId="819" priority="127" operator="lessThan">
      <formula>0</formula>
    </cfRule>
    <cfRule type="cellIs" dxfId="818" priority="128" operator="lessThan">
      <formula>S152</formula>
    </cfRule>
    <cfRule type="cellIs" dxfId="817" priority="129" operator="lessThan">
      <formula>5</formula>
    </cfRule>
  </conditionalFormatting>
  <conditionalFormatting sqref="M152">
    <cfRule type="cellIs" dxfId="816" priority="126" operator="equal">
      <formula>"Done"</formula>
    </cfRule>
  </conditionalFormatting>
  <conditionalFormatting sqref="T151">
    <cfRule type="cellIs" dxfId="815" priority="116" operator="greaterThan">
      <formula>1</formula>
    </cfRule>
    <cfRule type="dataBar" priority="122">
      <dataBar>
        <cfvo type="num" val="0"/>
        <cfvo type="num" val="1"/>
        <color rgb="FF9AC7F0"/>
      </dataBar>
      <extLst>
        <ext xmlns:x14="http://schemas.microsoft.com/office/spreadsheetml/2009/9/main" uri="{B025F937-C7B1-47D3-B67F-A62EFF666E3E}">
          <x14:id>{499C7A54-C267-449F-BB72-43E0BFDC21B2}</x14:id>
        </ext>
      </extLst>
    </cfRule>
  </conditionalFormatting>
  <conditionalFormatting sqref="M151">
    <cfRule type="cellIs" dxfId="814" priority="111" operator="equal">
      <formula>"Done"</formula>
    </cfRule>
    <cfRule type="cellIs" dxfId="813" priority="123" operator="lessThan">
      <formula>0</formula>
    </cfRule>
    <cfRule type="cellIs" dxfId="812" priority="124" operator="lessThan">
      <formula>$S$12</formula>
    </cfRule>
    <cfRule type="cellIs" dxfId="811" priority="125" operator="lessThan">
      <formula>5</formula>
    </cfRule>
  </conditionalFormatting>
  <conditionalFormatting sqref="W151">
    <cfRule type="containsBlanks" dxfId="810" priority="118">
      <formula>LEN(TRIM(W151))=0</formula>
    </cfRule>
    <cfRule type="cellIs" dxfId="809" priority="120" operator="greaterThan">
      <formula>0</formula>
    </cfRule>
    <cfRule type="cellIs" dxfId="808" priority="121" operator="lessThanOrEqual">
      <formula>0</formula>
    </cfRule>
  </conditionalFormatting>
  <conditionalFormatting sqref="T148">
    <cfRule type="dataBar" priority="117">
      <dataBar>
        <cfvo type="num" val="0"/>
        <cfvo type="num" val="1"/>
        <color rgb="FF9AC7F0"/>
      </dataBar>
      <extLst>
        <ext xmlns:x14="http://schemas.microsoft.com/office/spreadsheetml/2009/9/main" uri="{B025F937-C7B1-47D3-B67F-A62EFF666E3E}">
          <x14:id>{6246226F-017D-4C9D-908C-042AD9B04751}</x14:id>
        </ext>
      </extLst>
    </cfRule>
  </conditionalFormatting>
  <conditionalFormatting sqref="I151">
    <cfRule type="expression" dxfId="807" priority="115">
      <formula>AND(J151&lt;&gt;"",J151&lt;=TODAY(),P151&lt;1,M151&lt;&gt;"Done")</formula>
    </cfRule>
  </conditionalFormatting>
  <conditionalFormatting sqref="H151">
    <cfRule type="cellIs" dxfId="806" priority="114" operator="equal">
      <formula>"Nicht buchbar!"</formula>
    </cfRule>
  </conditionalFormatting>
  <conditionalFormatting sqref="K151">
    <cfRule type="dataBar" priority="112">
      <dataBar>
        <cfvo type="num" val="0"/>
        <cfvo type="num" val="1"/>
        <color rgb="FF9AC7F0"/>
      </dataBar>
      <extLst>
        <ext xmlns:x14="http://schemas.microsoft.com/office/spreadsheetml/2009/9/main" uri="{B025F937-C7B1-47D3-B67F-A62EFF666E3E}">
          <x14:id>{CBD1C1BA-E8CC-43CC-9B40-88C9BE796C59}</x14:id>
        </ext>
      </extLst>
    </cfRule>
    <cfRule type="notContainsBlanks" dxfId="805" priority="113">
      <formula>LEN(TRIM(K151))&gt;0</formula>
    </cfRule>
  </conditionalFormatting>
  <conditionalFormatting sqref="T156">
    <cfRule type="cellIs" dxfId="804" priority="98" operator="greaterThan">
      <formula>1</formula>
    </cfRule>
    <cfRule type="dataBar" priority="105">
      <dataBar>
        <cfvo type="num" val="0"/>
        <cfvo type="num" val="1"/>
        <color rgb="FF9AC7F0"/>
      </dataBar>
      <extLst>
        <ext xmlns:x14="http://schemas.microsoft.com/office/spreadsheetml/2009/9/main" uri="{B025F937-C7B1-47D3-B67F-A62EFF666E3E}">
          <x14:id>{557DF1DE-54A1-4834-A0C5-592F88719924}</x14:id>
        </ext>
      </extLst>
    </cfRule>
  </conditionalFormatting>
  <conditionalFormatting sqref="T158">
    <cfRule type="dataBar" priority="104">
      <dataBar>
        <cfvo type="num" val="0"/>
        <cfvo type="num" val="1"/>
        <color rgb="FF9AC7F0"/>
      </dataBar>
      <extLst>
        <ext xmlns:x14="http://schemas.microsoft.com/office/spreadsheetml/2009/9/main" uri="{B025F937-C7B1-47D3-B67F-A62EFF666E3E}">
          <x14:id>{D0A4CFF6-D7DB-4501-AF91-6E11226D0E05}</x14:id>
        </ext>
      </extLst>
    </cfRule>
  </conditionalFormatting>
  <conditionalFormatting sqref="M156">
    <cfRule type="cellIs" dxfId="803" priority="89" operator="equal">
      <formula>"Done"</formula>
    </cfRule>
    <cfRule type="cellIs" dxfId="802" priority="106" operator="lessThan">
      <formula>0</formula>
    </cfRule>
    <cfRule type="cellIs" dxfId="801" priority="107" operator="lessThan">
      <formula>$S$12</formula>
    </cfRule>
    <cfRule type="cellIs" dxfId="800" priority="108" operator="lessThan">
      <formula>5</formula>
    </cfRule>
  </conditionalFormatting>
  <conditionalFormatting sqref="W156">
    <cfRule type="containsBlanks" dxfId="799" priority="100">
      <formula>LEN(TRIM(W156))=0</formula>
    </cfRule>
    <cfRule type="cellIs" dxfId="798" priority="102" operator="greaterThan">
      <formula>0</formula>
    </cfRule>
    <cfRule type="cellIs" dxfId="797" priority="103" operator="lessThanOrEqual">
      <formula>0</formula>
    </cfRule>
  </conditionalFormatting>
  <conditionalFormatting sqref="O157">
    <cfRule type="dataBar" priority="99">
      <dataBar>
        <cfvo type="num" val="0"/>
        <cfvo type="num" val="1"/>
        <color rgb="FF9AC7F0"/>
      </dataBar>
      <extLst>
        <ext xmlns:x14="http://schemas.microsoft.com/office/spreadsheetml/2009/9/main" uri="{B025F937-C7B1-47D3-B67F-A62EFF666E3E}">
          <x14:id>{8A1A8257-B55A-42B5-BEC0-981C557FD8BE}</x14:id>
        </ext>
      </extLst>
    </cfRule>
  </conditionalFormatting>
  <conditionalFormatting sqref="I156">
    <cfRule type="expression" dxfId="796" priority="97">
      <formula>AND(J156&lt;&gt;"",J156&lt;=TODAY(),P156&lt;1,M156&lt;&gt;"Done")</formula>
    </cfRule>
  </conditionalFormatting>
  <conditionalFormatting sqref="H156">
    <cfRule type="cellIs" dxfId="795" priority="96" operator="equal">
      <formula>"Nicht buchbar!"</formula>
    </cfRule>
  </conditionalFormatting>
  <conditionalFormatting sqref="K157">
    <cfRule type="expression" priority="88">
      <formula>IF(M157="Done",TRUE,FALSE)</formula>
    </cfRule>
    <cfRule type="cellIs" dxfId="794" priority="90" operator="greaterThan">
      <formula>P157</formula>
    </cfRule>
    <cfRule type="dataBar" priority="95">
      <dataBar>
        <cfvo type="num" val="0"/>
        <cfvo type="num" val="1"/>
        <color rgb="FF9AC7F0"/>
      </dataBar>
      <extLst>
        <ext xmlns:x14="http://schemas.microsoft.com/office/spreadsheetml/2009/9/main" uri="{B025F937-C7B1-47D3-B67F-A62EFF666E3E}">
          <x14:id>{359FA6BD-E1BE-4814-8930-8E2494FFE6EC}</x14:id>
        </ext>
      </extLst>
    </cfRule>
  </conditionalFormatting>
  <conditionalFormatting sqref="K156">
    <cfRule type="dataBar" priority="93">
      <dataBar>
        <cfvo type="num" val="0"/>
        <cfvo type="num" val="1"/>
        <color rgb="FF9AC7F0"/>
      </dataBar>
      <extLst>
        <ext xmlns:x14="http://schemas.microsoft.com/office/spreadsheetml/2009/9/main" uri="{B025F937-C7B1-47D3-B67F-A62EFF666E3E}">
          <x14:id>{B45D12AB-F1CD-4E8D-AF2C-F4E5A032E0BC}</x14:id>
        </ext>
      </extLst>
    </cfRule>
    <cfRule type="notContainsBlanks" dxfId="793" priority="94">
      <formula>LEN(TRIM(K156))&gt;0</formula>
    </cfRule>
  </conditionalFormatting>
  <conditionalFormatting sqref="I157">
    <cfRule type="expression" dxfId="792" priority="92">
      <formula>AND(J157&lt;&gt;"",J157&lt;=TODAY(),P157&lt;1)</formula>
    </cfRule>
  </conditionalFormatting>
  <conditionalFormatting sqref="P157">
    <cfRule type="dataBar" priority="91">
      <dataBar>
        <cfvo type="num" val="0"/>
        <cfvo type="num" val="1"/>
        <color rgb="FF9AC7F0"/>
      </dataBar>
      <extLst>
        <ext xmlns:x14="http://schemas.microsoft.com/office/spreadsheetml/2009/9/main" uri="{B025F937-C7B1-47D3-B67F-A62EFF666E3E}">
          <x14:id>{3FB4ECC0-58C3-4745-AE37-F9D10FB6F164}</x14:id>
        </ext>
      </extLst>
    </cfRule>
  </conditionalFormatting>
  <conditionalFormatting sqref="M157">
    <cfRule type="cellIs" dxfId="791" priority="85" operator="lessThan">
      <formula>0</formula>
    </cfRule>
    <cfRule type="cellIs" dxfId="790" priority="86" operator="lessThan">
      <formula>S157</formula>
    </cfRule>
    <cfRule type="cellIs" dxfId="789" priority="87" operator="lessThan">
      <formula>5</formula>
    </cfRule>
  </conditionalFormatting>
  <conditionalFormatting sqref="M157">
    <cfRule type="cellIs" dxfId="788" priority="84" operator="equal">
      <formula>"Done"</formula>
    </cfRule>
  </conditionalFormatting>
  <conditionalFormatting sqref="T161">
    <cfRule type="cellIs" dxfId="787" priority="71" operator="greaterThan">
      <formula>1</formula>
    </cfRule>
    <cfRule type="dataBar" priority="78">
      <dataBar>
        <cfvo type="num" val="0"/>
        <cfvo type="num" val="1"/>
        <color rgb="FF9AC7F0"/>
      </dataBar>
      <extLst>
        <ext xmlns:x14="http://schemas.microsoft.com/office/spreadsheetml/2009/9/main" uri="{B025F937-C7B1-47D3-B67F-A62EFF666E3E}">
          <x14:id>{1DFC9263-829A-4119-92E1-F86DE3676003}</x14:id>
        </ext>
      </extLst>
    </cfRule>
  </conditionalFormatting>
  <conditionalFormatting sqref="T163">
    <cfRule type="dataBar" priority="77">
      <dataBar>
        <cfvo type="num" val="0"/>
        <cfvo type="num" val="1"/>
        <color rgb="FF9AC7F0"/>
      </dataBar>
      <extLst>
        <ext xmlns:x14="http://schemas.microsoft.com/office/spreadsheetml/2009/9/main" uri="{B025F937-C7B1-47D3-B67F-A62EFF666E3E}">
          <x14:id>{CF09CF26-8FEC-4A09-A224-C169264E29ED}</x14:id>
        </ext>
      </extLst>
    </cfRule>
  </conditionalFormatting>
  <conditionalFormatting sqref="M161">
    <cfRule type="cellIs" dxfId="786" priority="62" operator="equal">
      <formula>"Done"</formula>
    </cfRule>
    <cfRule type="cellIs" dxfId="785" priority="79" operator="lessThan">
      <formula>0</formula>
    </cfRule>
    <cfRule type="cellIs" dxfId="784" priority="80" operator="lessThan">
      <formula>$S$12</formula>
    </cfRule>
    <cfRule type="cellIs" dxfId="783" priority="81" operator="lessThan">
      <formula>5</formula>
    </cfRule>
  </conditionalFormatting>
  <conditionalFormatting sqref="W161">
    <cfRule type="containsBlanks" dxfId="782" priority="73">
      <formula>LEN(TRIM(W161))=0</formula>
    </cfRule>
    <cfRule type="cellIs" dxfId="781" priority="75" operator="greaterThan">
      <formula>0</formula>
    </cfRule>
    <cfRule type="cellIs" dxfId="780" priority="76" operator="lessThanOrEqual">
      <formula>0</formula>
    </cfRule>
  </conditionalFormatting>
  <conditionalFormatting sqref="O162">
    <cfRule type="dataBar" priority="72">
      <dataBar>
        <cfvo type="num" val="0"/>
        <cfvo type="num" val="1"/>
        <color rgb="FF9AC7F0"/>
      </dataBar>
      <extLst>
        <ext xmlns:x14="http://schemas.microsoft.com/office/spreadsheetml/2009/9/main" uri="{B025F937-C7B1-47D3-B67F-A62EFF666E3E}">
          <x14:id>{174416EC-0DB3-489B-8E11-F43A5E435668}</x14:id>
        </ext>
      </extLst>
    </cfRule>
  </conditionalFormatting>
  <conditionalFormatting sqref="I161">
    <cfRule type="expression" dxfId="779" priority="70">
      <formula>AND(J161&lt;&gt;"",J161&lt;=TODAY(),P161&lt;1,M161&lt;&gt;"Done")</formula>
    </cfRule>
  </conditionalFormatting>
  <conditionalFormatting sqref="H161">
    <cfRule type="cellIs" dxfId="778" priority="69" operator="equal">
      <formula>"Nicht buchbar!"</formula>
    </cfRule>
  </conditionalFormatting>
  <conditionalFormatting sqref="K162">
    <cfRule type="expression" priority="61">
      <formula>IF(M162="Done",TRUE,FALSE)</formula>
    </cfRule>
    <cfRule type="cellIs" dxfId="777" priority="63" operator="greaterThan">
      <formula>P162</formula>
    </cfRule>
    <cfRule type="dataBar" priority="68">
      <dataBar>
        <cfvo type="num" val="0"/>
        <cfvo type="num" val="1"/>
        <color rgb="FF9AC7F0"/>
      </dataBar>
      <extLst>
        <ext xmlns:x14="http://schemas.microsoft.com/office/spreadsheetml/2009/9/main" uri="{B025F937-C7B1-47D3-B67F-A62EFF666E3E}">
          <x14:id>{7E1BDECC-C35C-43B3-B713-C3CC99284793}</x14:id>
        </ext>
      </extLst>
    </cfRule>
  </conditionalFormatting>
  <conditionalFormatting sqref="K161">
    <cfRule type="dataBar" priority="66">
      <dataBar>
        <cfvo type="num" val="0"/>
        <cfvo type="num" val="1"/>
        <color rgb="FF9AC7F0"/>
      </dataBar>
      <extLst>
        <ext xmlns:x14="http://schemas.microsoft.com/office/spreadsheetml/2009/9/main" uri="{B025F937-C7B1-47D3-B67F-A62EFF666E3E}">
          <x14:id>{8587D939-514A-45FF-B3CC-4391AFA45816}</x14:id>
        </ext>
      </extLst>
    </cfRule>
    <cfRule type="notContainsBlanks" dxfId="776" priority="67">
      <formula>LEN(TRIM(K161))&gt;0</formula>
    </cfRule>
  </conditionalFormatting>
  <conditionalFormatting sqref="I162">
    <cfRule type="expression" dxfId="775" priority="65">
      <formula>AND(J162&lt;&gt;"",J162&lt;=TODAY(),P162&lt;1)</formula>
    </cfRule>
  </conditionalFormatting>
  <conditionalFormatting sqref="P162">
    <cfRule type="dataBar" priority="64">
      <dataBar>
        <cfvo type="num" val="0"/>
        <cfvo type="num" val="1"/>
        <color rgb="FF9AC7F0"/>
      </dataBar>
      <extLst>
        <ext xmlns:x14="http://schemas.microsoft.com/office/spreadsheetml/2009/9/main" uri="{B025F937-C7B1-47D3-B67F-A62EFF666E3E}">
          <x14:id>{638410E4-33A9-43AB-97EC-919C1C8E58D0}</x14:id>
        </ext>
      </extLst>
    </cfRule>
  </conditionalFormatting>
  <conditionalFormatting sqref="M162">
    <cfRule type="cellIs" dxfId="774" priority="58" operator="lessThan">
      <formula>0</formula>
    </cfRule>
    <cfRule type="cellIs" dxfId="773" priority="59" operator="lessThan">
      <formula>S162</formula>
    </cfRule>
    <cfRule type="cellIs" dxfId="772" priority="60" operator="lessThan">
      <formula>5</formula>
    </cfRule>
  </conditionalFormatting>
  <conditionalFormatting sqref="M162">
    <cfRule type="cellIs" dxfId="771" priority="57" operator="equal">
      <formula>"Done"</formula>
    </cfRule>
  </conditionalFormatting>
  <conditionalFormatting sqref="T166">
    <cfRule type="cellIs" dxfId="770" priority="44" operator="greaterThan">
      <formula>1</formula>
    </cfRule>
    <cfRule type="dataBar" priority="51">
      <dataBar>
        <cfvo type="num" val="0"/>
        <cfvo type="num" val="1"/>
        <color rgb="FF9AC7F0"/>
      </dataBar>
      <extLst>
        <ext xmlns:x14="http://schemas.microsoft.com/office/spreadsheetml/2009/9/main" uri="{B025F937-C7B1-47D3-B67F-A62EFF666E3E}">
          <x14:id>{C8D5FE9C-7A8C-430E-8C48-CB5FEC6DCD82}</x14:id>
        </ext>
      </extLst>
    </cfRule>
  </conditionalFormatting>
  <conditionalFormatting sqref="T168">
    <cfRule type="dataBar" priority="50">
      <dataBar>
        <cfvo type="num" val="0"/>
        <cfvo type="num" val="1"/>
        <color rgb="FF9AC7F0"/>
      </dataBar>
      <extLst>
        <ext xmlns:x14="http://schemas.microsoft.com/office/spreadsheetml/2009/9/main" uri="{B025F937-C7B1-47D3-B67F-A62EFF666E3E}">
          <x14:id>{FA168901-F302-4DC3-9988-7945ACBBB853}</x14:id>
        </ext>
      </extLst>
    </cfRule>
  </conditionalFormatting>
  <conditionalFormatting sqref="M166">
    <cfRule type="cellIs" dxfId="769" priority="35" operator="equal">
      <formula>"Done"</formula>
    </cfRule>
    <cfRule type="cellIs" dxfId="768" priority="52" operator="lessThan">
      <formula>0</formula>
    </cfRule>
    <cfRule type="cellIs" dxfId="767" priority="53" operator="lessThan">
      <formula>$S$12</formula>
    </cfRule>
    <cfRule type="cellIs" dxfId="766" priority="54" operator="lessThan">
      <formula>5</formula>
    </cfRule>
  </conditionalFormatting>
  <conditionalFormatting sqref="W166">
    <cfRule type="containsBlanks" dxfId="765" priority="46">
      <formula>LEN(TRIM(W166))=0</formula>
    </cfRule>
    <cfRule type="cellIs" dxfId="764" priority="48" operator="greaterThan">
      <formula>0</formula>
    </cfRule>
    <cfRule type="cellIs" dxfId="763" priority="49" operator="lessThanOrEqual">
      <formula>0</formula>
    </cfRule>
  </conditionalFormatting>
  <conditionalFormatting sqref="O167">
    <cfRule type="dataBar" priority="45">
      <dataBar>
        <cfvo type="num" val="0"/>
        <cfvo type="num" val="1"/>
        <color rgb="FF9AC7F0"/>
      </dataBar>
      <extLst>
        <ext xmlns:x14="http://schemas.microsoft.com/office/spreadsheetml/2009/9/main" uri="{B025F937-C7B1-47D3-B67F-A62EFF666E3E}">
          <x14:id>{7A3DB2C6-D579-48C8-8C49-1F0AC555AEC3}</x14:id>
        </ext>
      </extLst>
    </cfRule>
  </conditionalFormatting>
  <conditionalFormatting sqref="I166">
    <cfRule type="expression" dxfId="762" priority="43">
      <formula>AND(J166&lt;&gt;"",J166&lt;=TODAY(),P166&lt;1,M166&lt;&gt;"Done")</formula>
    </cfRule>
  </conditionalFormatting>
  <conditionalFormatting sqref="H166">
    <cfRule type="cellIs" dxfId="761" priority="42" operator="equal">
      <formula>"Nicht buchbar!"</formula>
    </cfRule>
  </conditionalFormatting>
  <conditionalFormatting sqref="K167">
    <cfRule type="expression" priority="34">
      <formula>IF(M167="Done",TRUE,FALSE)</formula>
    </cfRule>
    <cfRule type="cellIs" dxfId="760" priority="36" operator="greaterThan">
      <formula>P167</formula>
    </cfRule>
    <cfRule type="dataBar" priority="41">
      <dataBar>
        <cfvo type="num" val="0"/>
        <cfvo type="num" val="1"/>
        <color rgb="FF9AC7F0"/>
      </dataBar>
      <extLst>
        <ext xmlns:x14="http://schemas.microsoft.com/office/spreadsheetml/2009/9/main" uri="{B025F937-C7B1-47D3-B67F-A62EFF666E3E}">
          <x14:id>{55AC9D8F-D68C-4EE0-A262-37F882073BFA}</x14:id>
        </ext>
      </extLst>
    </cfRule>
  </conditionalFormatting>
  <conditionalFormatting sqref="K166">
    <cfRule type="dataBar" priority="39">
      <dataBar>
        <cfvo type="num" val="0"/>
        <cfvo type="num" val="1"/>
        <color rgb="FF9AC7F0"/>
      </dataBar>
      <extLst>
        <ext xmlns:x14="http://schemas.microsoft.com/office/spreadsheetml/2009/9/main" uri="{B025F937-C7B1-47D3-B67F-A62EFF666E3E}">
          <x14:id>{8245EE28-0130-40F9-BE96-4BA86E62FA7A}</x14:id>
        </ext>
      </extLst>
    </cfRule>
    <cfRule type="notContainsBlanks" dxfId="759" priority="40">
      <formula>LEN(TRIM(K166))&gt;0</formula>
    </cfRule>
  </conditionalFormatting>
  <conditionalFormatting sqref="I167">
    <cfRule type="expression" dxfId="758" priority="38">
      <formula>AND(J167&lt;&gt;"",J167&lt;=TODAY(),P167&lt;1)</formula>
    </cfRule>
  </conditionalFormatting>
  <conditionalFormatting sqref="P167">
    <cfRule type="dataBar" priority="37">
      <dataBar>
        <cfvo type="num" val="0"/>
        <cfvo type="num" val="1"/>
        <color rgb="FF9AC7F0"/>
      </dataBar>
      <extLst>
        <ext xmlns:x14="http://schemas.microsoft.com/office/spreadsheetml/2009/9/main" uri="{B025F937-C7B1-47D3-B67F-A62EFF666E3E}">
          <x14:id>{AF7BAD9E-5C7F-4D3A-A420-60EFEF63719F}</x14:id>
        </ext>
      </extLst>
    </cfRule>
  </conditionalFormatting>
  <conditionalFormatting sqref="M167">
    <cfRule type="cellIs" dxfId="757" priority="31" operator="lessThan">
      <formula>0</formula>
    </cfRule>
    <cfRule type="cellIs" dxfId="756" priority="32" operator="lessThan">
      <formula>S167</formula>
    </cfRule>
    <cfRule type="cellIs" dxfId="755" priority="33" operator="lessThan">
      <formula>5</formula>
    </cfRule>
  </conditionalFormatting>
  <conditionalFormatting sqref="M167">
    <cfRule type="cellIs" dxfId="754" priority="30" operator="equal">
      <formula>"Done"</formula>
    </cfRule>
  </conditionalFormatting>
  <conditionalFormatting sqref="T171">
    <cfRule type="cellIs" dxfId="753" priority="17" operator="greaterThan">
      <formula>1</formula>
    </cfRule>
    <cfRule type="dataBar" priority="24">
      <dataBar>
        <cfvo type="num" val="0"/>
        <cfvo type="num" val="1"/>
        <color rgb="FF9AC7F0"/>
      </dataBar>
      <extLst>
        <ext xmlns:x14="http://schemas.microsoft.com/office/spreadsheetml/2009/9/main" uri="{B025F937-C7B1-47D3-B67F-A62EFF666E3E}">
          <x14:id>{7F01EABC-23B7-4E22-B200-E9EF563AF777}</x14:id>
        </ext>
      </extLst>
    </cfRule>
  </conditionalFormatting>
  <conditionalFormatting sqref="T173">
    <cfRule type="dataBar" priority="23">
      <dataBar>
        <cfvo type="num" val="0"/>
        <cfvo type="num" val="1"/>
        <color rgb="FF9AC7F0"/>
      </dataBar>
      <extLst>
        <ext xmlns:x14="http://schemas.microsoft.com/office/spreadsheetml/2009/9/main" uri="{B025F937-C7B1-47D3-B67F-A62EFF666E3E}">
          <x14:id>{5AB01F56-7CF9-4A09-AF33-33A5442FBCFB}</x14:id>
        </ext>
      </extLst>
    </cfRule>
  </conditionalFormatting>
  <conditionalFormatting sqref="M171">
    <cfRule type="cellIs" dxfId="752" priority="8" operator="equal">
      <formula>"Done"</formula>
    </cfRule>
    <cfRule type="cellIs" dxfId="751" priority="25" operator="lessThan">
      <formula>0</formula>
    </cfRule>
    <cfRule type="cellIs" dxfId="750" priority="26" operator="lessThan">
      <formula>$S$12</formula>
    </cfRule>
    <cfRule type="cellIs" dxfId="749" priority="27" operator="lessThan">
      <formula>5</formula>
    </cfRule>
  </conditionalFormatting>
  <conditionalFormatting sqref="W171">
    <cfRule type="containsBlanks" dxfId="748" priority="19">
      <formula>LEN(TRIM(W171))=0</formula>
    </cfRule>
    <cfRule type="cellIs" dxfId="747" priority="21" operator="greaterThan">
      <formula>0</formula>
    </cfRule>
    <cfRule type="cellIs" dxfId="746" priority="22" operator="lessThanOrEqual">
      <formula>0</formula>
    </cfRule>
  </conditionalFormatting>
  <conditionalFormatting sqref="O172">
    <cfRule type="dataBar" priority="18">
      <dataBar>
        <cfvo type="num" val="0"/>
        <cfvo type="num" val="1"/>
        <color rgb="FF9AC7F0"/>
      </dataBar>
      <extLst>
        <ext xmlns:x14="http://schemas.microsoft.com/office/spreadsheetml/2009/9/main" uri="{B025F937-C7B1-47D3-B67F-A62EFF666E3E}">
          <x14:id>{60BB014B-E0B7-4864-97C3-A95B9B77C002}</x14:id>
        </ext>
      </extLst>
    </cfRule>
  </conditionalFormatting>
  <conditionalFormatting sqref="I171">
    <cfRule type="expression" dxfId="745" priority="16">
      <formula>AND(J171&lt;&gt;"",J171&lt;=TODAY(),P171&lt;1,M171&lt;&gt;"Done")</formula>
    </cfRule>
  </conditionalFormatting>
  <conditionalFormatting sqref="H171">
    <cfRule type="cellIs" dxfId="744" priority="15" operator="equal">
      <formula>"Nicht buchbar!"</formula>
    </cfRule>
  </conditionalFormatting>
  <conditionalFormatting sqref="K172">
    <cfRule type="expression" priority="7">
      <formula>IF(M172="Done",TRUE,FALSE)</formula>
    </cfRule>
    <cfRule type="cellIs" dxfId="743" priority="9" operator="greaterThan">
      <formula>P172</formula>
    </cfRule>
    <cfRule type="dataBar" priority="14">
      <dataBar>
        <cfvo type="num" val="0"/>
        <cfvo type="num" val="1"/>
        <color rgb="FF9AC7F0"/>
      </dataBar>
      <extLst>
        <ext xmlns:x14="http://schemas.microsoft.com/office/spreadsheetml/2009/9/main" uri="{B025F937-C7B1-47D3-B67F-A62EFF666E3E}">
          <x14:id>{EFAFC132-F9B3-4421-B87C-6E9CF3CDA8D6}</x14:id>
        </ext>
      </extLst>
    </cfRule>
  </conditionalFormatting>
  <conditionalFormatting sqref="K171">
    <cfRule type="dataBar" priority="12">
      <dataBar>
        <cfvo type="num" val="0"/>
        <cfvo type="num" val="1"/>
        <color rgb="FF9AC7F0"/>
      </dataBar>
      <extLst>
        <ext xmlns:x14="http://schemas.microsoft.com/office/spreadsheetml/2009/9/main" uri="{B025F937-C7B1-47D3-B67F-A62EFF666E3E}">
          <x14:id>{BBE7381D-B6BA-4B6A-96BD-200815F71569}</x14:id>
        </ext>
      </extLst>
    </cfRule>
    <cfRule type="notContainsBlanks" dxfId="742" priority="13">
      <formula>LEN(TRIM(K171))&gt;0</formula>
    </cfRule>
  </conditionalFormatting>
  <conditionalFormatting sqref="I172">
    <cfRule type="expression" dxfId="741" priority="11">
      <formula>AND(J172&lt;&gt;"",J172&lt;=TODAY(),P172&lt;1)</formula>
    </cfRule>
  </conditionalFormatting>
  <conditionalFormatting sqref="P172">
    <cfRule type="dataBar" priority="10">
      <dataBar>
        <cfvo type="num" val="0"/>
        <cfvo type="num" val="1"/>
        <color rgb="FF9AC7F0"/>
      </dataBar>
      <extLst>
        <ext xmlns:x14="http://schemas.microsoft.com/office/spreadsheetml/2009/9/main" uri="{B025F937-C7B1-47D3-B67F-A62EFF666E3E}">
          <x14:id>{1B3919D4-0D6B-4801-9F9C-9CE427436A62}</x14:id>
        </ext>
      </extLst>
    </cfRule>
  </conditionalFormatting>
  <conditionalFormatting sqref="M172">
    <cfRule type="cellIs" dxfId="740" priority="4" operator="lessThan">
      <formula>0</formula>
    </cfRule>
    <cfRule type="cellIs" dxfId="739" priority="5" operator="lessThan">
      <formula>S172</formula>
    </cfRule>
    <cfRule type="cellIs" dxfId="738" priority="6" operator="lessThan">
      <formula>5</formula>
    </cfRule>
  </conditionalFormatting>
  <conditionalFormatting sqref="M172">
    <cfRule type="cellIs" dxfId="737" priority="3" operator="equal">
      <formula>"Done"</formula>
    </cfRule>
  </conditionalFormatting>
  <dataValidations count="1">
    <dataValidation allowBlank="1" showInputMessage="1" showErrorMessage="1" sqref="O13:P13 F13 F58 O58:P58 F63 O63:P63 F68 O68:P68 F73 O73:P73 F78 O78:P78 F83 O83:P83 F88 O88:P88 F93 O93:P93 F98 O98:P98 F103 O103:P103 F18 O18:P18 F108 O108:P108 F113 O113:P113 F118 O118:P118 F123 O123:P123 F128 O128:P128 F133 O133:P133 F138 O138:P138 F143 O143:P143 F23 O23:P23 F28 O28:P28 F33 O33:P33 F38 O38:P38 F43 O43:P43 F48 O48:P48 F53 O53:P53 F152 O152:P152 F157 O157:P157 F162 O162:P162 F167 O167:P167 F172 O172:P172" xr:uid="{626BCFE4-64BB-4061-9D75-DC0934063D92}"/>
  </dataValidations>
  <pageMargins left="0.7" right="0.7" top="0.78740157499999996" bottom="0.78740157499999996"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1428D20A-9305-4E21-ABE4-7670C34AC8CA}">
            <x14:dataBar minLength="0" maxLength="100" gradient="0">
              <x14:cfvo type="num">
                <xm:f>0</xm:f>
              </x14:cfvo>
              <x14:cfvo type="num">
                <xm:f>1</xm:f>
              </x14:cfvo>
              <x14:negativeFillColor rgb="FFFF0000"/>
              <x14:axisColor rgb="FF000000"/>
            </x14:dataBar>
          </x14:cfRule>
          <xm:sqref>T3:T5</xm:sqref>
        </x14:conditionalFormatting>
        <x14:conditionalFormatting xmlns:xm="http://schemas.microsoft.com/office/excel/2006/main">
          <x14:cfRule type="dataBar" id="{2BCCE229-066F-4F94-A96E-449CD767F421}">
            <x14:dataBar minLength="0" maxLength="100" gradient="0">
              <x14:cfvo type="num">
                <xm:f>0</xm:f>
              </x14:cfvo>
              <x14:cfvo type="num">
                <xm:f>1</xm:f>
              </x14:cfvo>
              <x14:negativeFillColor rgb="FFFF0000"/>
              <x14:axisColor rgb="FF000000"/>
            </x14:dataBar>
          </x14:cfRule>
          <xm:sqref>P13</xm:sqref>
        </x14:conditionalFormatting>
        <x14:conditionalFormatting xmlns:xm="http://schemas.microsoft.com/office/excel/2006/main">
          <x14:cfRule type="dataBar" id="{15A7B7F5-7B75-4281-9712-400BEC47B2D8}">
            <x14:dataBar minLength="0" maxLength="100" gradient="0">
              <x14:cfvo type="num">
                <xm:f>0</xm:f>
              </x14:cfvo>
              <x14:cfvo type="num">
                <xm:f>1</xm:f>
              </x14:cfvo>
              <x14:negativeFillColor rgb="FFFF0000"/>
              <x14:axisColor rgb="FF000000"/>
            </x14:dataBar>
          </x14:cfRule>
          <xm:sqref>O13</xm:sqref>
        </x14:conditionalFormatting>
        <x14:conditionalFormatting xmlns:xm="http://schemas.microsoft.com/office/excel/2006/main">
          <x14:cfRule type="dataBar" id="{DF78944F-86FE-41FF-9FA4-D049FE6A5230}">
            <x14:dataBar minLength="0" maxLength="100" gradient="0">
              <x14:cfvo type="num">
                <xm:f>0</xm:f>
              </x14:cfvo>
              <x14:cfvo type="num">
                <xm:f>1</xm:f>
              </x14:cfvo>
              <x14:negativeFillColor rgb="FFFF0000"/>
              <x14:axisColor rgb="FF000000"/>
            </x14:dataBar>
          </x14:cfRule>
          <xm:sqref>K13</xm:sqref>
        </x14:conditionalFormatting>
        <x14:conditionalFormatting xmlns:xm="http://schemas.microsoft.com/office/excel/2006/main">
          <x14:cfRule type="dataBar" id="{55C65B53-5C00-4ACD-81AE-686CCB59CA60}">
            <x14:dataBar minLength="0" maxLength="100" gradient="0">
              <x14:cfvo type="num">
                <xm:f>0</xm:f>
              </x14:cfvo>
              <x14:cfvo type="num">
                <xm:f>1</xm:f>
              </x14:cfvo>
              <x14:negativeFillColor rgb="FFFF0000"/>
              <x14:axisColor rgb="FF000000"/>
            </x14:dataBar>
          </x14:cfRule>
          <xm:sqref>T8</xm:sqref>
        </x14:conditionalFormatting>
        <x14:conditionalFormatting xmlns:xm="http://schemas.microsoft.com/office/excel/2006/main">
          <x14:cfRule type="dataBar" id="{BD77165F-7A3F-4132-9FFA-820790707A6B}">
            <x14:dataBar minLength="0" maxLength="100" gradient="0">
              <x14:cfvo type="num">
                <xm:f>0</xm:f>
              </x14:cfvo>
              <x14:cfvo type="num">
                <xm:f>1</xm:f>
              </x14:cfvo>
              <x14:negativeFillColor rgb="FFFF0000"/>
              <x14:axisColor rgb="FF000000"/>
            </x14:dataBar>
          </x14:cfRule>
          <xm:sqref>K8</xm:sqref>
        </x14:conditionalFormatting>
        <x14:conditionalFormatting xmlns:xm="http://schemas.microsoft.com/office/excel/2006/main">
          <x14:cfRule type="dataBar" id="{6C113ADF-3619-4375-8EB9-D3ACCFF7D719}">
            <x14:dataBar minLength="0" maxLength="100" gradient="0">
              <x14:cfvo type="num">
                <xm:f>0</xm:f>
              </x14:cfvo>
              <x14:cfvo type="num">
                <xm:f>1</xm:f>
              </x14:cfvo>
              <x14:negativeFillColor rgb="FFFF0000"/>
              <x14:axisColor rgb="FF000000"/>
            </x14:dataBar>
          </x14:cfRule>
          <xm:sqref>T14</xm:sqref>
        </x14:conditionalFormatting>
        <x14:conditionalFormatting xmlns:xm="http://schemas.microsoft.com/office/excel/2006/main">
          <x14:cfRule type="dataBar" id="{D0B5BE33-F848-4285-8BF4-2FF4E057D611}">
            <x14:dataBar minLength="0" maxLength="100" gradient="0">
              <x14:cfvo type="num">
                <xm:f>0</xm:f>
              </x14:cfvo>
              <x14:cfvo type="num">
                <xm:f>1</xm:f>
              </x14:cfvo>
              <x14:negativeFillColor rgb="FFFF0000"/>
              <x14:axisColor rgb="FF000000"/>
            </x14:dataBar>
          </x14:cfRule>
          <xm:sqref>T12</xm:sqref>
        </x14:conditionalFormatting>
        <x14:conditionalFormatting xmlns:xm="http://schemas.microsoft.com/office/excel/2006/main">
          <x14:cfRule type="dataBar" id="{AB72B84B-6BAA-4855-81B4-723E55F81CDF}">
            <x14:dataBar minLength="0" maxLength="100" gradient="0">
              <x14:cfvo type="num">
                <xm:f>0</xm:f>
              </x14:cfvo>
              <x14:cfvo type="num">
                <xm:f>1</xm:f>
              </x14:cfvo>
              <x14:negativeFillColor rgb="FFFF0000"/>
              <x14:axisColor rgb="FF000000"/>
            </x14:dataBar>
          </x14:cfRule>
          <xm:sqref>T9</xm:sqref>
        </x14:conditionalFormatting>
        <x14:conditionalFormatting xmlns:xm="http://schemas.microsoft.com/office/excel/2006/main">
          <x14:cfRule type="dataBar" id="{4C1D4A87-AC49-4D6F-BD7C-CF0B7E7B55FB}">
            <x14:dataBar minLength="0" maxLength="100" gradient="0">
              <x14:cfvo type="num">
                <xm:f>0</xm:f>
              </x14:cfvo>
              <x14:cfvo type="num">
                <xm:f>1</xm:f>
              </x14:cfvo>
              <x14:negativeFillColor rgb="FFFF0000"/>
              <x14:axisColor rgb="FF000000"/>
            </x14:dataBar>
          </x14:cfRule>
          <xm:sqref>K12</xm:sqref>
        </x14:conditionalFormatting>
        <x14:conditionalFormatting xmlns:xm="http://schemas.microsoft.com/office/excel/2006/main">
          <x14:cfRule type="dataBar" id="{CA2058F1-8F25-41D7-A3DA-2675998E9C9D}">
            <x14:dataBar minLength="0" maxLength="100" gradient="0">
              <x14:cfvo type="num">
                <xm:f>0</xm:f>
              </x14:cfvo>
              <x14:cfvo type="num">
                <xm:f>1</xm:f>
              </x14:cfvo>
              <x14:negativeFillColor rgb="FFFF0000"/>
              <x14:axisColor rgb="FF000000"/>
            </x14:dataBar>
          </x14:cfRule>
          <xm:sqref>T57</xm:sqref>
        </x14:conditionalFormatting>
        <x14:conditionalFormatting xmlns:xm="http://schemas.microsoft.com/office/excel/2006/main">
          <x14:cfRule type="dataBar" id="{64E87B27-94CA-4E42-9A1F-EDD2358BF668}">
            <x14:dataBar minLength="0" maxLength="100" gradient="0">
              <x14:cfvo type="num">
                <xm:f>0</xm:f>
              </x14:cfvo>
              <x14:cfvo type="num">
                <xm:f>1</xm:f>
              </x14:cfvo>
              <x14:negativeFillColor rgb="FFFF0000"/>
              <x14:axisColor rgb="FF000000"/>
            </x14:dataBar>
          </x14:cfRule>
          <xm:sqref>T59</xm:sqref>
        </x14:conditionalFormatting>
        <x14:conditionalFormatting xmlns:xm="http://schemas.microsoft.com/office/excel/2006/main">
          <x14:cfRule type="dataBar" id="{6BF08C4E-D746-4ACE-B5E2-38CE8D63C2B7}">
            <x14:dataBar minLength="0" maxLength="100" gradient="0">
              <x14:cfvo type="num">
                <xm:f>0</xm:f>
              </x14:cfvo>
              <x14:cfvo type="num">
                <xm:f>1</xm:f>
              </x14:cfvo>
              <x14:negativeFillColor rgb="FFFF0000"/>
              <x14:axisColor rgb="FF000000"/>
            </x14:dataBar>
          </x14:cfRule>
          <xm:sqref>O58</xm:sqref>
        </x14:conditionalFormatting>
        <x14:conditionalFormatting xmlns:xm="http://schemas.microsoft.com/office/excel/2006/main">
          <x14:cfRule type="dataBar" id="{2F698CC3-293B-4D5A-8BC7-7CD139F9A618}">
            <x14:dataBar minLength="0" maxLength="100" gradient="0">
              <x14:cfvo type="num">
                <xm:f>0</xm:f>
              </x14:cfvo>
              <x14:cfvo type="num">
                <xm:f>1</xm:f>
              </x14:cfvo>
              <x14:negativeFillColor rgb="FFFF0000"/>
              <x14:axisColor rgb="FF000000"/>
            </x14:dataBar>
          </x14:cfRule>
          <xm:sqref>K58</xm:sqref>
        </x14:conditionalFormatting>
        <x14:conditionalFormatting xmlns:xm="http://schemas.microsoft.com/office/excel/2006/main">
          <x14:cfRule type="dataBar" id="{EB182156-BF89-4886-8D7E-CECC5FAB9E8F}">
            <x14:dataBar minLength="0" maxLength="100" gradient="0">
              <x14:cfvo type="num">
                <xm:f>0</xm:f>
              </x14:cfvo>
              <x14:cfvo type="num">
                <xm:f>1</xm:f>
              </x14:cfvo>
              <x14:negativeFillColor rgb="FFFF0000"/>
              <x14:axisColor rgb="FF000000"/>
            </x14:dataBar>
          </x14:cfRule>
          <xm:sqref>K57</xm:sqref>
        </x14:conditionalFormatting>
        <x14:conditionalFormatting xmlns:xm="http://schemas.microsoft.com/office/excel/2006/main">
          <x14:cfRule type="dataBar" id="{36907BF3-1637-4D4E-8AA7-FB3A3AC51D71}">
            <x14:dataBar minLength="0" maxLength="100" gradient="0">
              <x14:cfvo type="num">
                <xm:f>0</xm:f>
              </x14:cfvo>
              <x14:cfvo type="num">
                <xm:f>1</xm:f>
              </x14:cfvo>
              <x14:negativeFillColor rgb="FFFF0000"/>
              <x14:axisColor rgb="FF000000"/>
            </x14:dataBar>
          </x14:cfRule>
          <xm:sqref>P58</xm:sqref>
        </x14:conditionalFormatting>
        <x14:conditionalFormatting xmlns:xm="http://schemas.microsoft.com/office/excel/2006/main">
          <x14:cfRule type="dataBar" id="{267D6545-0550-41EF-BA44-5F2C7E32A412}">
            <x14:dataBar minLength="0" maxLength="100" gradient="0">
              <x14:cfvo type="num">
                <xm:f>0</xm:f>
              </x14:cfvo>
              <x14:cfvo type="num">
                <xm:f>1</xm:f>
              </x14:cfvo>
              <x14:negativeFillColor rgb="FFFF0000"/>
              <x14:axisColor rgb="FF000000"/>
            </x14:dataBar>
          </x14:cfRule>
          <xm:sqref>T62</xm:sqref>
        </x14:conditionalFormatting>
        <x14:conditionalFormatting xmlns:xm="http://schemas.microsoft.com/office/excel/2006/main">
          <x14:cfRule type="dataBar" id="{F153A898-08FB-42A4-A335-263AF14B6FBE}">
            <x14:dataBar minLength="0" maxLength="100" gradient="0">
              <x14:cfvo type="num">
                <xm:f>0</xm:f>
              </x14:cfvo>
              <x14:cfvo type="num">
                <xm:f>1</xm:f>
              </x14:cfvo>
              <x14:negativeFillColor rgb="FFFF0000"/>
              <x14:axisColor rgb="FF000000"/>
            </x14:dataBar>
          </x14:cfRule>
          <xm:sqref>T64</xm:sqref>
        </x14:conditionalFormatting>
        <x14:conditionalFormatting xmlns:xm="http://schemas.microsoft.com/office/excel/2006/main">
          <x14:cfRule type="dataBar" id="{9C986A15-1450-4692-961D-D10548635EF1}">
            <x14:dataBar minLength="0" maxLength="100" gradient="0">
              <x14:cfvo type="num">
                <xm:f>0</xm:f>
              </x14:cfvo>
              <x14:cfvo type="num">
                <xm:f>1</xm:f>
              </x14:cfvo>
              <x14:negativeFillColor rgb="FFFF0000"/>
              <x14:axisColor rgb="FF000000"/>
            </x14:dataBar>
          </x14:cfRule>
          <xm:sqref>O63</xm:sqref>
        </x14:conditionalFormatting>
        <x14:conditionalFormatting xmlns:xm="http://schemas.microsoft.com/office/excel/2006/main">
          <x14:cfRule type="dataBar" id="{BECB4A16-2119-41BF-BD20-F9956F20CBCC}">
            <x14:dataBar minLength="0" maxLength="100" gradient="0">
              <x14:cfvo type="num">
                <xm:f>0</xm:f>
              </x14:cfvo>
              <x14:cfvo type="num">
                <xm:f>1</xm:f>
              </x14:cfvo>
              <x14:negativeFillColor rgb="FFFF0000"/>
              <x14:axisColor rgb="FF000000"/>
            </x14:dataBar>
          </x14:cfRule>
          <xm:sqref>K63</xm:sqref>
        </x14:conditionalFormatting>
        <x14:conditionalFormatting xmlns:xm="http://schemas.microsoft.com/office/excel/2006/main">
          <x14:cfRule type="dataBar" id="{EA19FA4D-B375-4E8C-9DA1-C3825E55080F}">
            <x14:dataBar minLength="0" maxLength="100" gradient="0">
              <x14:cfvo type="num">
                <xm:f>0</xm:f>
              </x14:cfvo>
              <x14:cfvo type="num">
                <xm:f>1</xm:f>
              </x14:cfvo>
              <x14:negativeFillColor rgb="FFFF0000"/>
              <x14:axisColor rgb="FF000000"/>
            </x14:dataBar>
          </x14:cfRule>
          <xm:sqref>K62</xm:sqref>
        </x14:conditionalFormatting>
        <x14:conditionalFormatting xmlns:xm="http://schemas.microsoft.com/office/excel/2006/main">
          <x14:cfRule type="dataBar" id="{CF6B1A86-69BA-4657-917F-0DC4F7D6317C}">
            <x14:dataBar minLength="0" maxLength="100" gradient="0">
              <x14:cfvo type="num">
                <xm:f>0</xm:f>
              </x14:cfvo>
              <x14:cfvo type="num">
                <xm:f>1</xm:f>
              </x14:cfvo>
              <x14:negativeFillColor rgb="FFFF0000"/>
              <x14:axisColor rgb="FF000000"/>
            </x14:dataBar>
          </x14:cfRule>
          <xm:sqref>P63</xm:sqref>
        </x14:conditionalFormatting>
        <x14:conditionalFormatting xmlns:xm="http://schemas.microsoft.com/office/excel/2006/main">
          <x14:cfRule type="dataBar" id="{F3CAF137-5B87-4751-8DE4-E5428EABD552}">
            <x14:dataBar minLength="0" maxLength="100" gradient="0">
              <x14:cfvo type="num">
                <xm:f>0</xm:f>
              </x14:cfvo>
              <x14:cfvo type="num">
                <xm:f>1</xm:f>
              </x14:cfvo>
              <x14:negativeFillColor rgb="FFFF0000"/>
              <x14:axisColor rgb="FF000000"/>
            </x14:dataBar>
          </x14:cfRule>
          <xm:sqref>T67</xm:sqref>
        </x14:conditionalFormatting>
        <x14:conditionalFormatting xmlns:xm="http://schemas.microsoft.com/office/excel/2006/main">
          <x14:cfRule type="dataBar" id="{D7BAA872-F1BB-4952-9F3C-1093915CCAB1}">
            <x14:dataBar minLength="0" maxLength="100" gradient="0">
              <x14:cfvo type="num">
                <xm:f>0</xm:f>
              </x14:cfvo>
              <x14:cfvo type="num">
                <xm:f>1</xm:f>
              </x14:cfvo>
              <x14:negativeFillColor rgb="FFFF0000"/>
              <x14:axisColor rgb="FF000000"/>
            </x14:dataBar>
          </x14:cfRule>
          <xm:sqref>T69</xm:sqref>
        </x14:conditionalFormatting>
        <x14:conditionalFormatting xmlns:xm="http://schemas.microsoft.com/office/excel/2006/main">
          <x14:cfRule type="dataBar" id="{B0E95092-94BC-4354-9F02-63570470AE82}">
            <x14:dataBar minLength="0" maxLength="100" gradient="0">
              <x14:cfvo type="num">
                <xm:f>0</xm:f>
              </x14:cfvo>
              <x14:cfvo type="num">
                <xm:f>1</xm:f>
              </x14:cfvo>
              <x14:negativeFillColor rgb="FFFF0000"/>
              <x14:axisColor rgb="FF000000"/>
            </x14:dataBar>
          </x14:cfRule>
          <xm:sqref>O68</xm:sqref>
        </x14:conditionalFormatting>
        <x14:conditionalFormatting xmlns:xm="http://schemas.microsoft.com/office/excel/2006/main">
          <x14:cfRule type="dataBar" id="{6D50173D-48ED-4CDA-8BA7-CFE384332B5C}">
            <x14:dataBar minLength="0" maxLength="100" gradient="0">
              <x14:cfvo type="num">
                <xm:f>0</xm:f>
              </x14:cfvo>
              <x14:cfvo type="num">
                <xm:f>1</xm:f>
              </x14:cfvo>
              <x14:negativeFillColor rgb="FFFF0000"/>
              <x14:axisColor rgb="FF000000"/>
            </x14:dataBar>
          </x14:cfRule>
          <xm:sqref>K68</xm:sqref>
        </x14:conditionalFormatting>
        <x14:conditionalFormatting xmlns:xm="http://schemas.microsoft.com/office/excel/2006/main">
          <x14:cfRule type="dataBar" id="{9AFD4352-E6D7-46ED-B7C4-A60AF49477BC}">
            <x14:dataBar minLength="0" maxLength="100" gradient="0">
              <x14:cfvo type="num">
                <xm:f>0</xm:f>
              </x14:cfvo>
              <x14:cfvo type="num">
                <xm:f>1</xm:f>
              </x14:cfvo>
              <x14:negativeFillColor rgb="FFFF0000"/>
              <x14:axisColor rgb="FF000000"/>
            </x14:dataBar>
          </x14:cfRule>
          <xm:sqref>K67</xm:sqref>
        </x14:conditionalFormatting>
        <x14:conditionalFormatting xmlns:xm="http://schemas.microsoft.com/office/excel/2006/main">
          <x14:cfRule type="dataBar" id="{362B7721-78F9-4B1E-AB92-5A5DC59F319A}">
            <x14:dataBar minLength="0" maxLength="100" gradient="0">
              <x14:cfvo type="num">
                <xm:f>0</xm:f>
              </x14:cfvo>
              <x14:cfvo type="num">
                <xm:f>1</xm:f>
              </x14:cfvo>
              <x14:negativeFillColor rgb="FFFF0000"/>
              <x14:axisColor rgb="FF000000"/>
            </x14:dataBar>
          </x14:cfRule>
          <xm:sqref>P68</xm:sqref>
        </x14:conditionalFormatting>
        <x14:conditionalFormatting xmlns:xm="http://schemas.microsoft.com/office/excel/2006/main">
          <x14:cfRule type="dataBar" id="{6A0030D3-16A5-4C8B-B684-A93F22B4CE7B}">
            <x14:dataBar minLength="0" maxLength="100" gradient="0">
              <x14:cfvo type="num">
                <xm:f>0</xm:f>
              </x14:cfvo>
              <x14:cfvo type="num">
                <xm:f>1</xm:f>
              </x14:cfvo>
              <x14:negativeFillColor rgb="FFFF0000"/>
              <x14:axisColor rgb="FF000000"/>
            </x14:dataBar>
          </x14:cfRule>
          <xm:sqref>T72</xm:sqref>
        </x14:conditionalFormatting>
        <x14:conditionalFormatting xmlns:xm="http://schemas.microsoft.com/office/excel/2006/main">
          <x14:cfRule type="dataBar" id="{773276C1-141C-4CF0-A41C-8A1D4E9FA822}">
            <x14:dataBar minLength="0" maxLength="100" gradient="0">
              <x14:cfvo type="num">
                <xm:f>0</xm:f>
              </x14:cfvo>
              <x14:cfvo type="num">
                <xm:f>1</xm:f>
              </x14:cfvo>
              <x14:negativeFillColor rgb="FFFF0000"/>
              <x14:axisColor rgb="FF000000"/>
            </x14:dataBar>
          </x14:cfRule>
          <xm:sqref>T74</xm:sqref>
        </x14:conditionalFormatting>
        <x14:conditionalFormatting xmlns:xm="http://schemas.microsoft.com/office/excel/2006/main">
          <x14:cfRule type="dataBar" id="{EED4BA9E-765C-4391-8B41-5DB43B23779C}">
            <x14:dataBar minLength="0" maxLength="100" gradient="0">
              <x14:cfvo type="num">
                <xm:f>0</xm:f>
              </x14:cfvo>
              <x14:cfvo type="num">
                <xm:f>1</xm:f>
              </x14:cfvo>
              <x14:negativeFillColor rgb="FFFF0000"/>
              <x14:axisColor rgb="FF000000"/>
            </x14:dataBar>
          </x14:cfRule>
          <xm:sqref>O73</xm:sqref>
        </x14:conditionalFormatting>
        <x14:conditionalFormatting xmlns:xm="http://schemas.microsoft.com/office/excel/2006/main">
          <x14:cfRule type="dataBar" id="{2EFAFBDD-AD61-45D4-A585-662FEFEE8762}">
            <x14:dataBar minLength="0" maxLength="100" gradient="0">
              <x14:cfvo type="num">
                <xm:f>0</xm:f>
              </x14:cfvo>
              <x14:cfvo type="num">
                <xm:f>1</xm:f>
              </x14:cfvo>
              <x14:negativeFillColor rgb="FFFF0000"/>
              <x14:axisColor rgb="FF000000"/>
            </x14:dataBar>
          </x14:cfRule>
          <xm:sqref>K73</xm:sqref>
        </x14:conditionalFormatting>
        <x14:conditionalFormatting xmlns:xm="http://schemas.microsoft.com/office/excel/2006/main">
          <x14:cfRule type="dataBar" id="{B3E2B51F-FE5B-4391-B3D0-C5BE172C6BB2}">
            <x14:dataBar minLength="0" maxLength="100" gradient="0">
              <x14:cfvo type="num">
                <xm:f>0</xm:f>
              </x14:cfvo>
              <x14:cfvo type="num">
                <xm:f>1</xm:f>
              </x14:cfvo>
              <x14:negativeFillColor rgb="FFFF0000"/>
              <x14:axisColor rgb="FF000000"/>
            </x14:dataBar>
          </x14:cfRule>
          <xm:sqref>K72</xm:sqref>
        </x14:conditionalFormatting>
        <x14:conditionalFormatting xmlns:xm="http://schemas.microsoft.com/office/excel/2006/main">
          <x14:cfRule type="dataBar" id="{A269AFF8-23F3-4DD6-8863-DEC2357079EB}">
            <x14:dataBar minLength="0" maxLength="100" gradient="0">
              <x14:cfvo type="num">
                <xm:f>0</xm:f>
              </x14:cfvo>
              <x14:cfvo type="num">
                <xm:f>1</xm:f>
              </x14:cfvo>
              <x14:negativeFillColor rgb="FFFF0000"/>
              <x14:axisColor rgb="FF000000"/>
            </x14:dataBar>
          </x14:cfRule>
          <xm:sqref>P73</xm:sqref>
        </x14:conditionalFormatting>
        <x14:conditionalFormatting xmlns:xm="http://schemas.microsoft.com/office/excel/2006/main">
          <x14:cfRule type="dataBar" id="{1E1BBF1D-92EE-4F14-86EE-A1B27245DCC8}">
            <x14:dataBar minLength="0" maxLength="100" gradient="0">
              <x14:cfvo type="num">
                <xm:f>0</xm:f>
              </x14:cfvo>
              <x14:cfvo type="num">
                <xm:f>1</xm:f>
              </x14:cfvo>
              <x14:negativeFillColor rgb="FFFF0000"/>
              <x14:axisColor rgb="FF000000"/>
            </x14:dataBar>
          </x14:cfRule>
          <xm:sqref>T77</xm:sqref>
        </x14:conditionalFormatting>
        <x14:conditionalFormatting xmlns:xm="http://schemas.microsoft.com/office/excel/2006/main">
          <x14:cfRule type="dataBar" id="{5110CC98-136D-480E-A36D-8D7645A36CE5}">
            <x14:dataBar minLength="0" maxLength="100" gradient="0">
              <x14:cfvo type="num">
                <xm:f>0</xm:f>
              </x14:cfvo>
              <x14:cfvo type="num">
                <xm:f>1</xm:f>
              </x14:cfvo>
              <x14:negativeFillColor rgb="FFFF0000"/>
              <x14:axisColor rgb="FF000000"/>
            </x14:dataBar>
          </x14:cfRule>
          <xm:sqref>T79</xm:sqref>
        </x14:conditionalFormatting>
        <x14:conditionalFormatting xmlns:xm="http://schemas.microsoft.com/office/excel/2006/main">
          <x14:cfRule type="dataBar" id="{4D8BBAC6-7C75-4B85-8D0E-1410C03EB12B}">
            <x14:dataBar minLength="0" maxLength="100" gradient="0">
              <x14:cfvo type="num">
                <xm:f>0</xm:f>
              </x14:cfvo>
              <x14:cfvo type="num">
                <xm:f>1</xm:f>
              </x14:cfvo>
              <x14:negativeFillColor rgb="FFFF0000"/>
              <x14:axisColor rgb="FF000000"/>
            </x14:dataBar>
          </x14:cfRule>
          <xm:sqref>O78</xm:sqref>
        </x14:conditionalFormatting>
        <x14:conditionalFormatting xmlns:xm="http://schemas.microsoft.com/office/excel/2006/main">
          <x14:cfRule type="dataBar" id="{B1C4727C-3C3D-4FD4-A4E0-8DCDE97E5492}">
            <x14:dataBar minLength="0" maxLength="100" gradient="0">
              <x14:cfvo type="num">
                <xm:f>0</xm:f>
              </x14:cfvo>
              <x14:cfvo type="num">
                <xm:f>1</xm:f>
              </x14:cfvo>
              <x14:negativeFillColor rgb="FFFF0000"/>
              <x14:axisColor rgb="FF000000"/>
            </x14:dataBar>
          </x14:cfRule>
          <xm:sqref>K78</xm:sqref>
        </x14:conditionalFormatting>
        <x14:conditionalFormatting xmlns:xm="http://schemas.microsoft.com/office/excel/2006/main">
          <x14:cfRule type="dataBar" id="{6FD88C56-0371-430B-9BB9-ABA9A7482A58}">
            <x14:dataBar minLength="0" maxLength="100" gradient="0">
              <x14:cfvo type="num">
                <xm:f>0</xm:f>
              </x14:cfvo>
              <x14:cfvo type="num">
                <xm:f>1</xm:f>
              </x14:cfvo>
              <x14:negativeFillColor rgb="FFFF0000"/>
              <x14:axisColor rgb="FF000000"/>
            </x14:dataBar>
          </x14:cfRule>
          <xm:sqref>K77</xm:sqref>
        </x14:conditionalFormatting>
        <x14:conditionalFormatting xmlns:xm="http://schemas.microsoft.com/office/excel/2006/main">
          <x14:cfRule type="dataBar" id="{890B5EDE-4A83-4AF5-A191-53F94ADBC445}">
            <x14:dataBar minLength="0" maxLength="100" gradient="0">
              <x14:cfvo type="num">
                <xm:f>0</xm:f>
              </x14:cfvo>
              <x14:cfvo type="num">
                <xm:f>1</xm:f>
              </x14:cfvo>
              <x14:negativeFillColor rgb="FFFF0000"/>
              <x14:axisColor rgb="FF000000"/>
            </x14:dataBar>
          </x14:cfRule>
          <xm:sqref>P78</xm:sqref>
        </x14:conditionalFormatting>
        <x14:conditionalFormatting xmlns:xm="http://schemas.microsoft.com/office/excel/2006/main">
          <x14:cfRule type="dataBar" id="{3E1DC121-E0F0-4C6C-9A5C-944F70FCCA77}">
            <x14:dataBar minLength="0" maxLength="100" gradient="0">
              <x14:cfvo type="num">
                <xm:f>0</xm:f>
              </x14:cfvo>
              <x14:cfvo type="num">
                <xm:f>1</xm:f>
              </x14:cfvo>
              <x14:negativeFillColor rgb="FFFF0000"/>
              <x14:axisColor rgb="FF000000"/>
            </x14:dataBar>
          </x14:cfRule>
          <xm:sqref>T82</xm:sqref>
        </x14:conditionalFormatting>
        <x14:conditionalFormatting xmlns:xm="http://schemas.microsoft.com/office/excel/2006/main">
          <x14:cfRule type="dataBar" id="{854C2CF2-0EB0-4BED-8FF2-1A79C62372E8}">
            <x14:dataBar minLength="0" maxLength="100" gradient="0">
              <x14:cfvo type="num">
                <xm:f>0</xm:f>
              </x14:cfvo>
              <x14:cfvo type="num">
                <xm:f>1</xm:f>
              </x14:cfvo>
              <x14:negativeFillColor rgb="FFFF0000"/>
              <x14:axisColor rgb="FF000000"/>
            </x14:dataBar>
          </x14:cfRule>
          <xm:sqref>T84</xm:sqref>
        </x14:conditionalFormatting>
        <x14:conditionalFormatting xmlns:xm="http://schemas.microsoft.com/office/excel/2006/main">
          <x14:cfRule type="dataBar" id="{03969906-8269-48A8-B3FC-D66C51BF5AAA}">
            <x14:dataBar minLength="0" maxLength="100" gradient="0">
              <x14:cfvo type="num">
                <xm:f>0</xm:f>
              </x14:cfvo>
              <x14:cfvo type="num">
                <xm:f>1</xm:f>
              </x14:cfvo>
              <x14:negativeFillColor rgb="FFFF0000"/>
              <x14:axisColor rgb="FF000000"/>
            </x14:dataBar>
          </x14:cfRule>
          <xm:sqref>O83</xm:sqref>
        </x14:conditionalFormatting>
        <x14:conditionalFormatting xmlns:xm="http://schemas.microsoft.com/office/excel/2006/main">
          <x14:cfRule type="dataBar" id="{63A0B7A2-F173-4943-B42B-DF4B1A433646}">
            <x14:dataBar minLength="0" maxLength="100" gradient="0">
              <x14:cfvo type="num">
                <xm:f>0</xm:f>
              </x14:cfvo>
              <x14:cfvo type="num">
                <xm:f>1</xm:f>
              </x14:cfvo>
              <x14:negativeFillColor rgb="FFFF0000"/>
              <x14:axisColor rgb="FF000000"/>
            </x14:dataBar>
          </x14:cfRule>
          <xm:sqref>K83</xm:sqref>
        </x14:conditionalFormatting>
        <x14:conditionalFormatting xmlns:xm="http://schemas.microsoft.com/office/excel/2006/main">
          <x14:cfRule type="dataBar" id="{7E1EF9CA-F9D8-4ECE-BC14-0DF47AE2D4D0}">
            <x14:dataBar minLength="0" maxLength="100" gradient="0">
              <x14:cfvo type="num">
                <xm:f>0</xm:f>
              </x14:cfvo>
              <x14:cfvo type="num">
                <xm:f>1</xm:f>
              </x14:cfvo>
              <x14:negativeFillColor rgb="FFFF0000"/>
              <x14:axisColor rgb="FF000000"/>
            </x14:dataBar>
          </x14:cfRule>
          <xm:sqref>K82</xm:sqref>
        </x14:conditionalFormatting>
        <x14:conditionalFormatting xmlns:xm="http://schemas.microsoft.com/office/excel/2006/main">
          <x14:cfRule type="dataBar" id="{27B3FBD0-BC5E-4C31-9CB5-BCBA349438F3}">
            <x14:dataBar minLength="0" maxLength="100" gradient="0">
              <x14:cfvo type="num">
                <xm:f>0</xm:f>
              </x14:cfvo>
              <x14:cfvo type="num">
                <xm:f>1</xm:f>
              </x14:cfvo>
              <x14:negativeFillColor rgb="FFFF0000"/>
              <x14:axisColor rgb="FF000000"/>
            </x14:dataBar>
          </x14:cfRule>
          <xm:sqref>P83</xm:sqref>
        </x14:conditionalFormatting>
        <x14:conditionalFormatting xmlns:xm="http://schemas.microsoft.com/office/excel/2006/main">
          <x14:cfRule type="dataBar" id="{5C08BAAC-7B34-456F-B9F3-904DC640FEA7}">
            <x14:dataBar minLength="0" maxLength="100" gradient="0">
              <x14:cfvo type="num">
                <xm:f>0</xm:f>
              </x14:cfvo>
              <x14:cfvo type="num">
                <xm:f>1</xm:f>
              </x14:cfvo>
              <x14:negativeFillColor rgb="FFFF0000"/>
              <x14:axisColor rgb="FF000000"/>
            </x14:dataBar>
          </x14:cfRule>
          <xm:sqref>T87</xm:sqref>
        </x14:conditionalFormatting>
        <x14:conditionalFormatting xmlns:xm="http://schemas.microsoft.com/office/excel/2006/main">
          <x14:cfRule type="dataBar" id="{4EA42B3F-97CA-4720-9B92-7372E6DA9FFF}">
            <x14:dataBar minLength="0" maxLength="100" gradient="0">
              <x14:cfvo type="num">
                <xm:f>0</xm:f>
              </x14:cfvo>
              <x14:cfvo type="num">
                <xm:f>1</xm:f>
              </x14:cfvo>
              <x14:negativeFillColor rgb="FFFF0000"/>
              <x14:axisColor rgb="FF000000"/>
            </x14:dataBar>
          </x14:cfRule>
          <xm:sqref>T89</xm:sqref>
        </x14:conditionalFormatting>
        <x14:conditionalFormatting xmlns:xm="http://schemas.microsoft.com/office/excel/2006/main">
          <x14:cfRule type="dataBar" id="{15273D86-84A2-4614-BED6-E453380B21E2}">
            <x14:dataBar minLength="0" maxLength="100" gradient="0">
              <x14:cfvo type="num">
                <xm:f>0</xm:f>
              </x14:cfvo>
              <x14:cfvo type="num">
                <xm:f>1</xm:f>
              </x14:cfvo>
              <x14:negativeFillColor rgb="FFFF0000"/>
              <x14:axisColor rgb="FF000000"/>
            </x14:dataBar>
          </x14:cfRule>
          <xm:sqref>O88</xm:sqref>
        </x14:conditionalFormatting>
        <x14:conditionalFormatting xmlns:xm="http://schemas.microsoft.com/office/excel/2006/main">
          <x14:cfRule type="dataBar" id="{AC35E178-3A1C-4203-AA33-0BA5D68E2449}">
            <x14:dataBar minLength="0" maxLength="100" gradient="0">
              <x14:cfvo type="num">
                <xm:f>0</xm:f>
              </x14:cfvo>
              <x14:cfvo type="num">
                <xm:f>1</xm:f>
              </x14:cfvo>
              <x14:negativeFillColor rgb="FFFF0000"/>
              <x14:axisColor rgb="FF000000"/>
            </x14:dataBar>
          </x14:cfRule>
          <xm:sqref>K88</xm:sqref>
        </x14:conditionalFormatting>
        <x14:conditionalFormatting xmlns:xm="http://schemas.microsoft.com/office/excel/2006/main">
          <x14:cfRule type="dataBar" id="{9706CD5B-78E3-41A5-8CE2-5257260470E7}">
            <x14:dataBar minLength="0" maxLength="100" gradient="0">
              <x14:cfvo type="num">
                <xm:f>0</xm:f>
              </x14:cfvo>
              <x14:cfvo type="num">
                <xm:f>1</xm:f>
              </x14:cfvo>
              <x14:negativeFillColor rgb="FFFF0000"/>
              <x14:axisColor rgb="FF000000"/>
            </x14:dataBar>
          </x14:cfRule>
          <xm:sqref>K87</xm:sqref>
        </x14:conditionalFormatting>
        <x14:conditionalFormatting xmlns:xm="http://schemas.microsoft.com/office/excel/2006/main">
          <x14:cfRule type="dataBar" id="{08DAC1B5-1646-4801-96E7-448F623C6B23}">
            <x14:dataBar minLength="0" maxLength="100" gradient="0">
              <x14:cfvo type="num">
                <xm:f>0</xm:f>
              </x14:cfvo>
              <x14:cfvo type="num">
                <xm:f>1</xm:f>
              </x14:cfvo>
              <x14:negativeFillColor rgb="FFFF0000"/>
              <x14:axisColor rgb="FF000000"/>
            </x14:dataBar>
          </x14:cfRule>
          <xm:sqref>P88</xm:sqref>
        </x14:conditionalFormatting>
        <x14:conditionalFormatting xmlns:xm="http://schemas.microsoft.com/office/excel/2006/main">
          <x14:cfRule type="dataBar" id="{EEFDDC86-9B20-404A-8DA9-212705B4258B}">
            <x14:dataBar minLength="0" maxLength="100" gradient="0">
              <x14:cfvo type="num">
                <xm:f>0</xm:f>
              </x14:cfvo>
              <x14:cfvo type="num">
                <xm:f>1</xm:f>
              </x14:cfvo>
              <x14:negativeFillColor rgb="FFFF0000"/>
              <x14:axisColor rgb="FF000000"/>
            </x14:dataBar>
          </x14:cfRule>
          <xm:sqref>T92</xm:sqref>
        </x14:conditionalFormatting>
        <x14:conditionalFormatting xmlns:xm="http://schemas.microsoft.com/office/excel/2006/main">
          <x14:cfRule type="dataBar" id="{0777A7DC-DBA1-4942-9808-9058EAC823E0}">
            <x14:dataBar minLength="0" maxLength="100" gradient="0">
              <x14:cfvo type="num">
                <xm:f>0</xm:f>
              </x14:cfvo>
              <x14:cfvo type="num">
                <xm:f>1</xm:f>
              </x14:cfvo>
              <x14:negativeFillColor rgb="FFFF0000"/>
              <x14:axisColor rgb="FF000000"/>
            </x14:dataBar>
          </x14:cfRule>
          <xm:sqref>T94</xm:sqref>
        </x14:conditionalFormatting>
        <x14:conditionalFormatting xmlns:xm="http://schemas.microsoft.com/office/excel/2006/main">
          <x14:cfRule type="dataBar" id="{863EC172-1495-48A3-8613-4599FC26F4F2}">
            <x14:dataBar minLength="0" maxLength="100" gradient="0">
              <x14:cfvo type="num">
                <xm:f>0</xm:f>
              </x14:cfvo>
              <x14:cfvo type="num">
                <xm:f>1</xm:f>
              </x14:cfvo>
              <x14:negativeFillColor rgb="FFFF0000"/>
              <x14:axisColor rgb="FF000000"/>
            </x14:dataBar>
          </x14:cfRule>
          <xm:sqref>O93</xm:sqref>
        </x14:conditionalFormatting>
        <x14:conditionalFormatting xmlns:xm="http://schemas.microsoft.com/office/excel/2006/main">
          <x14:cfRule type="dataBar" id="{BB783E4D-681F-41E6-BDE5-8516A802CFCF}">
            <x14:dataBar minLength="0" maxLength="100" gradient="0">
              <x14:cfvo type="num">
                <xm:f>0</xm:f>
              </x14:cfvo>
              <x14:cfvo type="num">
                <xm:f>1</xm:f>
              </x14:cfvo>
              <x14:negativeFillColor rgb="FFFF0000"/>
              <x14:axisColor rgb="FF000000"/>
            </x14:dataBar>
          </x14:cfRule>
          <xm:sqref>K93</xm:sqref>
        </x14:conditionalFormatting>
        <x14:conditionalFormatting xmlns:xm="http://schemas.microsoft.com/office/excel/2006/main">
          <x14:cfRule type="dataBar" id="{32668D63-0AE1-4C73-AFD7-2FBDFE18C4D4}">
            <x14:dataBar minLength="0" maxLength="100" gradient="0">
              <x14:cfvo type="num">
                <xm:f>0</xm:f>
              </x14:cfvo>
              <x14:cfvo type="num">
                <xm:f>1</xm:f>
              </x14:cfvo>
              <x14:negativeFillColor rgb="FFFF0000"/>
              <x14:axisColor rgb="FF000000"/>
            </x14:dataBar>
          </x14:cfRule>
          <xm:sqref>K92</xm:sqref>
        </x14:conditionalFormatting>
        <x14:conditionalFormatting xmlns:xm="http://schemas.microsoft.com/office/excel/2006/main">
          <x14:cfRule type="dataBar" id="{D99499ED-DB28-4BDA-BD1E-91A5A6154505}">
            <x14:dataBar minLength="0" maxLength="100" gradient="0">
              <x14:cfvo type="num">
                <xm:f>0</xm:f>
              </x14:cfvo>
              <x14:cfvo type="num">
                <xm:f>1</xm:f>
              </x14:cfvo>
              <x14:negativeFillColor rgb="FFFF0000"/>
              <x14:axisColor rgb="FF000000"/>
            </x14:dataBar>
          </x14:cfRule>
          <xm:sqref>P93</xm:sqref>
        </x14:conditionalFormatting>
        <x14:conditionalFormatting xmlns:xm="http://schemas.microsoft.com/office/excel/2006/main">
          <x14:cfRule type="dataBar" id="{081548F1-D97A-463B-9D57-1680B7061CB4}">
            <x14:dataBar minLength="0" maxLength="100" gradient="0">
              <x14:cfvo type="num">
                <xm:f>0</xm:f>
              </x14:cfvo>
              <x14:cfvo type="num">
                <xm:f>1</xm:f>
              </x14:cfvo>
              <x14:negativeFillColor rgb="FFFF0000"/>
              <x14:axisColor rgb="FF000000"/>
            </x14:dataBar>
          </x14:cfRule>
          <xm:sqref>T97</xm:sqref>
        </x14:conditionalFormatting>
        <x14:conditionalFormatting xmlns:xm="http://schemas.microsoft.com/office/excel/2006/main">
          <x14:cfRule type="dataBar" id="{CAA3166A-E225-4C35-BE77-4E9FA409D447}">
            <x14:dataBar minLength="0" maxLength="100" gradient="0">
              <x14:cfvo type="num">
                <xm:f>0</xm:f>
              </x14:cfvo>
              <x14:cfvo type="num">
                <xm:f>1</xm:f>
              </x14:cfvo>
              <x14:negativeFillColor rgb="FFFF0000"/>
              <x14:axisColor rgb="FF000000"/>
            </x14:dataBar>
          </x14:cfRule>
          <xm:sqref>T99</xm:sqref>
        </x14:conditionalFormatting>
        <x14:conditionalFormatting xmlns:xm="http://schemas.microsoft.com/office/excel/2006/main">
          <x14:cfRule type="dataBar" id="{400713DF-A89E-459E-A925-76E49CD938CD}">
            <x14:dataBar minLength="0" maxLength="100" gradient="0">
              <x14:cfvo type="num">
                <xm:f>0</xm:f>
              </x14:cfvo>
              <x14:cfvo type="num">
                <xm:f>1</xm:f>
              </x14:cfvo>
              <x14:negativeFillColor rgb="FFFF0000"/>
              <x14:axisColor rgb="FF000000"/>
            </x14:dataBar>
          </x14:cfRule>
          <xm:sqref>O98</xm:sqref>
        </x14:conditionalFormatting>
        <x14:conditionalFormatting xmlns:xm="http://schemas.microsoft.com/office/excel/2006/main">
          <x14:cfRule type="dataBar" id="{DBB793E7-9C50-4BFA-8CC4-AE066CAE728D}">
            <x14:dataBar minLength="0" maxLength="100" gradient="0">
              <x14:cfvo type="num">
                <xm:f>0</xm:f>
              </x14:cfvo>
              <x14:cfvo type="num">
                <xm:f>1</xm:f>
              </x14:cfvo>
              <x14:negativeFillColor rgb="FFFF0000"/>
              <x14:axisColor rgb="FF000000"/>
            </x14:dataBar>
          </x14:cfRule>
          <xm:sqref>K98</xm:sqref>
        </x14:conditionalFormatting>
        <x14:conditionalFormatting xmlns:xm="http://schemas.microsoft.com/office/excel/2006/main">
          <x14:cfRule type="dataBar" id="{CB22DEA3-9283-4BD8-B9C1-C95BF8D828A0}">
            <x14:dataBar minLength="0" maxLength="100" gradient="0">
              <x14:cfvo type="num">
                <xm:f>0</xm:f>
              </x14:cfvo>
              <x14:cfvo type="num">
                <xm:f>1</xm:f>
              </x14:cfvo>
              <x14:negativeFillColor rgb="FFFF0000"/>
              <x14:axisColor rgb="FF000000"/>
            </x14:dataBar>
          </x14:cfRule>
          <xm:sqref>K97</xm:sqref>
        </x14:conditionalFormatting>
        <x14:conditionalFormatting xmlns:xm="http://schemas.microsoft.com/office/excel/2006/main">
          <x14:cfRule type="dataBar" id="{626E3BD5-FE2F-4823-AF4A-69FB069AB3C2}">
            <x14:dataBar minLength="0" maxLength="100" gradient="0">
              <x14:cfvo type="num">
                <xm:f>0</xm:f>
              </x14:cfvo>
              <x14:cfvo type="num">
                <xm:f>1</xm:f>
              </x14:cfvo>
              <x14:negativeFillColor rgb="FFFF0000"/>
              <x14:axisColor rgb="FF000000"/>
            </x14:dataBar>
          </x14:cfRule>
          <xm:sqref>P98</xm:sqref>
        </x14:conditionalFormatting>
        <x14:conditionalFormatting xmlns:xm="http://schemas.microsoft.com/office/excel/2006/main">
          <x14:cfRule type="dataBar" id="{BE374E5D-003A-4F9E-9AE1-55A715E09EAD}">
            <x14:dataBar minLength="0" maxLength="100" gradient="0">
              <x14:cfvo type="num">
                <xm:f>0</xm:f>
              </x14:cfvo>
              <x14:cfvo type="num">
                <xm:f>1</xm:f>
              </x14:cfvo>
              <x14:negativeFillColor rgb="FFFF0000"/>
              <x14:axisColor rgb="FF000000"/>
            </x14:dataBar>
          </x14:cfRule>
          <xm:sqref>T102</xm:sqref>
        </x14:conditionalFormatting>
        <x14:conditionalFormatting xmlns:xm="http://schemas.microsoft.com/office/excel/2006/main">
          <x14:cfRule type="dataBar" id="{4732F0BE-EEA1-4C65-A5FF-1EB1619F5094}">
            <x14:dataBar minLength="0" maxLength="100" gradient="0">
              <x14:cfvo type="num">
                <xm:f>0</xm:f>
              </x14:cfvo>
              <x14:cfvo type="num">
                <xm:f>1</xm:f>
              </x14:cfvo>
              <x14:negativeFillColor rgb="FFFF0000"/>
              <x14:axisColor rgb="FF000000"/>
            </x14:dataBar>
          </x14:cfRule>
          <xm:sqref>T104</xm:sqref>
        </x14:conditionalFormatting>
        <x14:conditionalFormatting xmlns:xm="http://schemas.microsoft.com/office/excel/2006/main">
          <x14:cfRule type="dataBar" id="{0EA12486-DA7A-45A7-ABAC-9A501329A552}">
            <x14:dataBar minLength="0" maxLength="100" gradient="0">
              <x14:cfvo type="num">
                <xm:f>0</xm:f>
              </x14:cfvo>
              <x14:cfvo type="num">
                <xm:f>1</xm:f>
              </x14:cfvo>
              <x14:negativeFillColor rgb="FFFF0000"/>
              <x14:axisColor rgb="FF000000"/>
            </x14:dataBar>
          </x14:cfRule>
          <xm:sqref>O103</xm:sqref>
        </x14:conditionalFormatting>
        <x14:conditionalFormatting xmlns:xm="http://schemas.microsoft.com/office/excel/2006/main">
          <x14:cfRule type="dataBar" id="{49054EA2-9370-4CFB-A4DD-51EFE69E5A5D}">
            <x14:dataBar minLength="0" maxLength="100" gradient="0">
              <x14:cfvo type="num">
                <xm:f>0</xm:f>
              </x14:cfvo>
              <x14:cfvo type="num">
                <xm:f>1</xm:f>
              </x14:cfvo>
              <x14:negativeFillColor rgb="FFFF0000"/>
              <x14:axisColor rgb="FF000000"/>
            </x14:dataBar>
          </x14:cfRule>
          <xm:sqref>K103</xm:sqref>
        </x14:conditionalFormatting>
        <x14:conditionalFormatting xmlns:xm="http://schemas.microsoft.com/office/excel/2006/main">
          <x14:cfRule type="dataBar" id="{5FCBA8CB-39AA-4619-8D7E-1DF3EDB45173}">
            <x14:dataBar minLength="0" maxLength="100" gradient="0">
              <x14:cfvo type="num">
                <xm:f>0</xm:f>
              </x14:cfvo>
              <x14:cfvo type="num">
                <xm:f>1</xm:f>
              </x14:cfvo>
              <x14:negativeFillColor rgb="FFFF0000"/>
              <x14:axisColor rgb="FF000000"/>
            </x14:dataBar>
          </x14:cfRule>
          <xm:sqref>K102</xm:sqref>
        </x14:conditionalFormatting>
        <x14:conditionalFormatting xmlns:xm="http://schemas.microsoft.com/office/excel/2006/main">
          <x14:cfRule type="dataBar" id="{6B67E02F-234D-4DE3-8A17-320DDFB3717E}">
            <x14:dataBar minLength="0" maxLength="100" gradient="0">
              <x14:cfvo type="num">
                <xm:f>0</xm:f>
              </x14:cfvo>
              <x14:cfvo type="num">
                <xm:f>1</xm:f>
              </x14:cfvo>
              <x14:negativeFillColor rgb="FFFF0000"/>
              <x14:axisColor rgb="FF000000"/>
            </x14:dataBar>
          </x14:cfRule>
          <xm:sqref>P103</xm:sqref>
        </x14:conditionalFormatting>
        <x14:conditionalFormatting xmlns:xm="http://schemas.microsoft.com/office/excel/2006/main">
          <x14:cfRule type="dataBar" id="{2EF170DF-F51D-4BD5-B77C-6FA056E1A7E9}">
            <x14:dataBar minLength="0" maxLength="100" gradient="0">
              <x14:cfvo type="num">
                <xm:f>0</xm:f>
              </x14:cfvo>
              <x14:cfvo type="num">
                <xm:f>1</xm:f>
              </x14:cfvo>
              <x14:negativeFillColor rgb="FFFF0000"/>
              <x14:axisColor rgb="FF000000"/>
            </x14:dataBar>
          </x14:cfRule>
          <xm:sqref>T17</xm:sqref>
        </x14:conditionalFormatting>
        <x14:conditionalFormatting xmlns:xm="http://schemas.microsoft.com/office/excel/2006/main">
          <x14:cfRule type="dataBar" id="{4424CB82-112C-41CE-90E8-DC22D673B895}">
            <x14:dataBar minLength="0" maxLength="100" gradient="0">
              <x14:cfvo type="num">
                <xm:f>0</xm:f>
              </x14:cfvo>
              <x14:cfvo type="num">
                <xm:f>1</xm:f>
              </x14:cfvo>
              <x14:negativeFillColor rgb="FFFF0000"/>
              <x14:axisColor rgb="FF000000"/>
            </x14:dataBar>
          </x14:cfRule>
          <xm:sqref>T19</xm:sqref>
        </x14:conditionalFormatting>
        <x14:conditionalFormatting xmlns:xm="http://schemas.microsoft.com/office/excel/2006/main">
          <x14:cfRule type="dataBar" id="{D3986ACB-AFD7-4B4B-9FD2-A7D501F0B1A7}">
            <x14:dataBar minLength="0" maxLength="100" gradient="0">
              <x14:cfvo type="num">
                <xm:f>0</xm:f>
              </x14:cfvo>
              <x14:cfvo type="num">
                <xm:f>1</xm:f>
              </x14:cfvo>
              <x14:negativeFillColor rgb="FFFF0000"/>
              <x14:axisColor rgb="FF000000"/>
            </x14:dataBar>
          </x14:cfRule>
          <xm:sqref>O18</xm:sqref>
        </x14:conditionalFormatting>
        <x14:conditionalFormatting xmlns:xm="http://schemas.microsoft.com/office/excel/2006/main">
          <x14:cfRule type="dataBar" id="{BF26FCA2-EEC6-4028-9BB8-CE2F07A6E465}">
            <x14:dataBar minLength="0" maxLength="100" gradient="0">
              <x14:cfvo type="num">
                <xm:f>0</xm:f>
              </x14:cfvo>
              <x14:cfvo type="num">
                <xm:f>1</xm:f>
              </x14:cfvo>
              <x14:negativeFillColor rgb="FFFF0000"/>
              <x14:axisColor rgb="FF000000"/>
            </x14:dataBar>
          </x14:cfRule>
          <xm:sqref>K18</xm:sqref>
        </x14:conditionalFormatting>
        <x14:conditionalFormatting xmlns:xm="http://schemas.microsoft.com/office/excel/2006/main">
          <x14:cfRule type="dataBar" id="{73FC7BD9-F261-425F-9E92-369AB9AB8B46}">
            <x14:dataBar minLength="0" maxLength="100" gradient="0">
              <x14:cfvo type="num">
                <xm:f>0</xm:f>
              </x14:cfvo>
              <x14:cfvo type="num">
                <xm:f>1</xm:f>
              </x14:cfvo>
              <x14:negativeFillColor rgb="FFFF0000"/>
              <x14:axisColor rgb="FF000000"/>
            </x14:dataBar>
          </x14:cfRule>
          <xm:sqref>K17</xm:sqref>
        </x14:conditionalFormatting>
        <x14:conditionalFormatting xmlns:xm="http://schemas.microsoft.com/office/excel/2006/main">
          <x14:cfRule type="dataBar" id="{C014A8FA-B10D-4E08-8D88-D5A83C21CC30}">
            <x14:dataBar minLength="0" maxLength="100" gradient="0">
              <x14:cfvo type="num">
                <xm:f>0</xm:f>
              </x14:cfvo>
              <x14:cfvo type="num">
                <xm:f>1</xm:f>
              </x14:cfvo>
              <x14:negativeFillColor rgb="FFFF0000"/>
              <x14:axisColor rgb="FF000000"/>
            </x14:dataBar>
          </x14:cfRule>
          <xm:sqref>P18</xm:sqref>
        </x14:conditionalFormatting>
        <x14:conditionalFormatting xmlns:xm="http://schemas.microsoft.com/office/excel/2006/main">
          <x14:cfRule type="dataBar" id="{B6E9B142-2994-45C4-8F28-424A0DD22A53}">
            <x14:dataBar minLength="0" maxLength="100" gradient="0">
              <x14:cfvo type="num">
                <xm:f>0</xm:f>
              </x14:cfvo>
              <x14:cfvo type="num">
                <xm:f>1</xm:f>
              </x14:cfvo>
              <x14:negativeFillColor rgb="FFFF0000"/>
              <x14:axisColor rgb="FF000000"/>
            </x14:dataBar>
          </x14:cfRule>
          <xm:sqref>T107</xm:sqref>
        </x14:conditionalFormatting>
        <x14:conditionalFormatting xmlns:xm="http://schemas.microsoft.com/office/excel/2006/main">
          <x14:cfRule type="dataBar" id="{85C4B713-CCCE-4307-B5BD-A4082F6A47F3}">
            <x14:dataBar minLength="0" maxLength="100" gradient="0">
              <x14:cfvo type="num">
                <xm:f>0</xm:f>
              </x14:cfvo>
              <x14:cfvo type="num">
                <xm:f>1</xm:f>
              </x14:cfvo>
              <x14:negativeFillColor rgb="FFFF0000"/>
              <x14:axisColor rgb="FF000000"/>
            </x14:dataBar>
          </x14:cfRule>
          <xm:sqref>T109</xm:sqref>
        </x14:conditionalFormatting>
        <x14:conditionalFormatting xmlns:xm="http://schemas.microsoft.com/office/excel/2006/main">
          <x14:cfRule type="dataBar" id="{6C09E7BE-C47B-42A7-8D17-C6BAAB152757}">
            <x14:dataBar minLength="0" maxLength="100" gradient="0">
              <x14:cfvo type="num">
                <xm:f>0</xm:f>
              </x14:cfvo>
              <x14:cfvo type="num">
                <xm:f>1</xm:f>
              </x14:cfvo>
              <x14:negativeFillColor rgb="FFFF0000"/>
              <x14:axisColor rgb="FF000000"/>
            </x14:dataBar>
          </x14:cfRule>
          <xm:sqref>O108</xm:sqref>
        </x14:conditionalFormatting>
        <x14:conditionalFormatting xmlns:xm="http://schemas.microsoft.com/office/excel/2006/main">
          <x14:cfRule type="dataBar" id="{776DA23A-ED85-48C0-9184-76A4C397C115}">
            <x14:dataBar minLength="0" maxLength="100" gradient="0">
              <x14:cfvo type="num">
                <xm:f>0</xm:f>
              </x14:cfvo>
              <x14:cfvo type="num">
                <xm:f>1</xm:f>
              </x14:cfvo>
              <x14:negativeFillColor rgb="FFFF0000"/>
              <x14:axisColor rgb="FF000000"/>
            </x14:dataBar>
          </x14:cfRule>
          <xm:sqref>K108</xm:sqref>
        </x14:conditionalFormatting>
        <x14:conditionalFormatting xmlns:xm="http://schemas.microsoft.com/office/excel/2006/main">
          <x14:cfRule type="dataBar" id="{A5E0BFFA-654E-4A30-A7D2-43958BA6292C}">
            <x14:dataBar minLength="0" maxLength="100" gradient="0">
              <x14:cfvo type="num">
                <xm:f>0</xm:f>
              </x14:cfvo>
              <x14:cfvo type="num">
                <xm:f>1</xm:f>
              </x14:cfvo>
              <x14:negativeFillColor rgb="FFFF0000"/>
              <x14:axisColor rgb="FF000000"/>
            </x14:dataBar>
          </x14:cfRule>
          <xm:sqref>K107</xm:sqref>
        </x14:conditionalFormatting>
        <x14:conditionalFormatting xmlns:xm="http://schemas.microsoft.com/office/excel/2006/main">
          <x14:cfRule type="dataBar" id="{B1F19C53-1773-4065-A63D-02F93EA24E8D}">
            <x14:dataBar minLength="0" maxLength="100" gradient="0">
              <x14:cfvo type="num">
                <xm:f>0</xm:f>
              </x14:cfvo>
              <x14:cfvo type="num">
                <xm:f>1</xm:f>
              </x14:cfvo>
              <x14:negativeFillColor rgb="FFFF0000"/>
              <x14:axisColor rgb="FF000000"/>
            </x14:dataBar>
          </x14:cfRule>
          <xm:sqref>P108</xm:sqref>
        </x14:conditionalFormatting>
        <x14:conditionalFormatting xmlns:xm="http://schemas.microsoft.com/office/excel/2006/main">
          <x14:cfRule type="dataBar" id="{940E13D6-A0B9-45D0-BFF8-953EA8511E1F}">
            <x14:dataBar minLength="0" maxLength="100" gradient="0">
              <x14:cfvo type="num">
                <xm:f>0</xm:f>
              </x14:cfvo>
              <x14:cfvo type="num">
                <xm:f>1</xm:f>
              </x14:cfvo>
              <x14:negativeFillColor rgb="FFFF0000"/>
              <x14:axisColor rgb="FF000000"/>
            </x14:dataBar>
          </x14:cfRule>
          <xm:sqref>T112</xm:sqref>
        </x14:conditionalFormatting>
        <x14:conditionalFormatting xmlns:xm="http://schemas.microsoft.com/office/excel/2006/main">
          <x14:cfRule type="dataBar" id="{2AA2DCAE-BEB9-499A-A082-0ED9A85DD80B}">
            <x14:dataBar minLength="0" maxLength="100" gradient="0">
              <x14:cfvo type="num">
                <xm:f>0</xm:f>
              </x14:cfvo>
              <x14:cfvo type="num">
                <xm:f>1</xm:f>
              </x14:cfvo>
              <x14:negativeFillColor rgb="FFFF0000"/>
              <x14:axisColor rgb="FF000000"/>
            </x14:dataBar>
          </x14:cfRule>
          <xm:sqref>T114</xm:sqref>
        </x14:conditionalFormatting>
        <x14:conditionalFormatting xmlns:xm="http://schemas.microsoft.com/office/excel/2006/main">
          <x14:cfRule type="dataBar" id="{3172290A-C994-42BB-ADFF-7464FD2E2552}">
            <x14:dataBar minLength="0" maxLength="100" gradient="0">
              <x14:cfvo type="num">
                <xm:f>0</xm:f>
              </x14:cfvo>
              <x14:cfvo type="num">
                <xm:f>1</xm:f>
              </x14:cfvo>
              <x14:negativeFillColor rgb="FFFF0000"/>
              <x14:axisColor rgb="FF000000"/>
            </x14:dataBar>
          </x14:cfRule>
          <xm:sqref>O113</xm:sqref>
        </x14:conditionalFormatting>
        <x14:conditionalFormatting xmlns:xm="http://schemas.microsoft.com/office/excel/2006/main">
          <x14:cfRule type="dataBar" id="{8E93CB99-99C5-4013-BF48-254F7BE2DB01}">
            <x14:dataBar minLength="0" maxLength="100" gradient="0">
              <x14:cfvo type="num">
                <xm:f>0</xm:f>
              </x14:cfvo>
              <x14:cfvo type="num">
                <xm:f>1</xm:f>
              </x14:cfvo>
              <x14:negativeFillColor rgb="FFFF0000"/>
              <x14:axisColor rgb="FF000000"/>
            </x14:dataBar>
          </x14:cfRule>
          <xm:sqref>K113</xm:sqref>
        </x14:conditionalFormatting>
        <x14:conditionalFormatting xmlns:xm="http://schemas.microsoft.com/office/excel/2006/main">
          <x14:cfRule type="dataBar" id="{B71F5202-02A7-4E74-A1CB-BB2CCA6AA9B5}">
            <x14:dataBar minLength="0" maxLength="100" gradient="0">
              <x14:cfvo type="num">
                <xm:f>0</xm:f>
              </x14:cfvo>
              <x14:cfvo type="num">
                <xm:f>1</xm:f>
              </x14:cfvo>
              <x14:negativeFillColor rgb="FFFF0000"/>
              <x14:axisColor rgb="FF000000"/>
            </x14:dataBar>
          </x14:cfRule>
          <xm:sqref>K112</xm:sqref>
        </x14:conditionalFormatting>
        <x14:conditionalFormatting xmlns:xm="http://schemas.microsoft.com/office/excel/2006/main">
          <x14:cfRule type="dataBar" id="{D115229B-1E1B-43AC-8E67-8BFDEA6CA649}">
            <x14:dataBar minLength="0" maxLength="100" gradient="0">
              <x14:cfvo type="num">
                <xm:f>0</xm:f>
              </x14:cfvo>
              <x14:cfvo type="num">
                <xm:f>1</xm:f>
              </x14:cfvo>
              <x14:negativeFillColor rgb="FFFF0000"/>
              <x14:axisColor rgb="FF000000"/>
            </x14:dataBar>
          </x14:cfRule>
          <xm:sqref>P113</xm:sqref>
        </x14:conditionalFormatting>
        <x14:conditionalFormatting xmlns:xm="http://schemas.microsoft.com/office/excel/2006/main">
          <x14:cfRule type="dataBar" id="{C784D645-EF23-4B98-9BCF-1395CB602C2A}">
            <x14:dataBar minLength="0" maxLength="100" gradient="0">
              <x14:cfvo type="num">
                <xm:f>0</xm:f>
              </x14:cfvo>
              <x14:cfvo type="num">
                <xm:f>1</xm:f>
              </x14:cfvo>
              <x14:negativeFillColor rgb="FFFF0000"/>
              <x14:axisColor rgb="FF000000"/>
            </x14:dataBar>
          </x14:cfRule>
          <xm:sqref>T117</xm:sqref>
        </x14:conditionalFormatting>
        <x14:conditionalFormatting xmlns:xm="http://schemas.microsoft.com/office/excel/2006/main">
          <x14:cfRule type="dataBar" id="{86734A95-662C-4259-B728-DE6F77F47C20}">
            <x14:dataBar minLength="0" maxLength="100" gradient="0">
              <x14:cfvo type="num">
                <xm:f>0</xm:f>
              </x14:cfvo>
              <x14:cfvo type="num">
                <xm:f>1</xm:f>
              </x14:cfvo>
              <x14:negativeFillColor rgb="FFFF0000"/>
              <x14:axisColor rgb="FF000000"/>
            </x14:dataBar>
          </x14:cfRule>
          <xm:sqref>T119</xm:sqref>
        </x14:conditionalFormatting>
        <x14:conditionalFormatting xmlns:xm="http://schemas.microsoft.com/office/excel/2006/main">
          <x14:cfRule type="dataBar" id="{C5BD017A-ED82-433A-AE9A-1CECB6E75241}">
            <x14:dataBar minLength="0" maxLength="100" gradient="0">
              <x14:cfvo type="num">
                <xm:f>0</xm:f>
              </x14:cfvo>
              <x14:cfvo type="num">
                <xm:f>1</xm:f>
              </x14:cfvo>
              <x14:negativeFillColor rgb="FFFF0000"/>
              <x14:axisColor rgb="FF000000"/>
            </x14:dataBar>
          </x14:cfRule>
          <xm:sqref>O118</xm:sqref>
        </x14:conditionalFormatting>
        <x14:conditionalFormatting xmlns:xm="http://schemas.microsoft.com/office/excel/2006/main">
          <x14:cfRule type="dataBar" id="{72481F3B-CB4C-4CDB-AF37-0AA9D970C856}">
            <x14:dataBar minLength="0" maxLength="100" gradient="0">
              <x14:cfvo type="num">
                <xm:f>0</xm:f>
              </x14:cfvo>
              <x14:cfvo type="num">
                <xm:f>1</xm:f>
              </x14:cfvo>
              <x14:negativeFillColor rgb="FFFF0000"/>
              <x14:axisColor rgb="FF000000"/>
            </x14:dataBar>
          </x14:cfRule>
          <xm:sqref>K118</xm:sqref>
        </x14:conditionalFormatting>
        <x14:conditionalFormatting xmlns:xm="http://schemas.microsoft.com/office/excel/2006/main">
          <x14:cfRule type="dataBar" id="{FE1B1970-7685-48FE-B6D8-A8276848EF3B}">
            <x14:dataBar minLength="0" maxLength="100" gradient="0">
              <x14:cfvo type="num">
                <xm:f>0</xm:f>
              </x14:cfvo>
              <x14:cfvo type="num">
                <xm:f>1</xm:f>
              </x14:cfvo>
              <x14:negativeFillColor rgb="FFFF0000"/>
              <x14:axisColor rgb="FF000000"/>
            </x14:dataBar>
          </x14:cfRule>
          <xm:sqref>K117</xm:sqref>
        </x14:conditionalFormatting>
        <x14:conditionalFormatting xmlns:xm="http://schemas.microsoft.com/office/excel/2006/main">
          <x14:cfRule type="dataBar" id="{9948EB4A-C692-4665-9357-459BBB88345C}">
            <x14:dataBar minLength="0" maxLength="100" gradient="0">
              <x14:cfvo type="num">
                <xm:f>0</xm:f>
              </x14:cfvo>
              <x14:cfvo type="num">
                <xm:f>1</xm:f>
              </x14:cfvo>
              <x14:negativeFillColor rgb="FFFF0000"/>
              <x14:axisColor rgb="FF000000"/>
            </x14:dataBar>
          </x14:cfRule>
          <xm:sqref>P118</xm:sqref>
        </x14:conditionalFormatting>
        <x14:conditionalFormatting xmlns:xm="http://schemas.microsoft.com/office/excel/2006/main">
          <x14:cfRule type="dataBar" id="{FC069D72-0076-4F5D-83BA-920C173BF65A}">
            <x14:dataBar minLength="0" maxLength="100" gradient="0">
              <x14:cfvo type="num">
                <xm:f>0</xm:f>
              </x14:cfvo>
              <x14:cfvo type="num">
                <xm:f>1</xm:f>
              </x14:cfvo>
              <x14:negativeFillColor rgb="FFFF0000"/>
              <x14:axisColor rgb="FF000000"/>
            </x14:dataBar>
          </x14:cfRule>
          <xm:sqref>T122</xm:sqref>
        </x14:conditionalFormatting>
        <x14:conditionalFormatting xmlns:xm="http://schemas.microsoft.com/office/excel/2006/main">
          <x14:cfRule type="dataBar" id="{9C47B408-9D05-43F8-A940-515E07A8AFC6}">
            <x14:dataBar minLength="0" maxLength="100" gradient="0">
              <x14:cfvo type="num">
                <xm:f>0</xm:f>
              </x14:cfvo>
              <x14:cfvo type="num">
                <xm:f>1</xm:f>
              </x14:cfvo>
              <x14:negativeFillColor rgb="FFFF0000"/>
              <x14:axisColor rgb="FF000000"/>
            </x14:dataBar>
          </x14:cfRule>
          <xm:sqref>T124</xm:sqref>
        </x14:conditionalFormatting>
        <x14:conditionalFormatting xmlns:xm="http://schemas.microsoft.com/office/excel/2006/main">
          <x14:cfRule type="dataBar" id="{5DC1F1FA-AE91-40D0-A1EC-414FB7B2DE93}">
            <x14:dataBar minLength="0" maxLength="100" gradient="0">
              <x14:cfvo type="num">
                <xm:f>0</xm:f>
              </x14:cfvo>
              <x14:cfvo type="num">
                <xm:f>1</xm:f>
              </x14:cfvo>
              <x14:negativeFillColor rgb="FFFF0000"/>
              <x14:axisColor rgb="FF000000"/>
            </x14:dataBar>
          </x14:cfRule>
          <xm:sqref>O123</xm:sqref>
        </x14:conditionalFormatting>
        <x14:conditionalFormatting xmlns:xm="http://schemas.microsoft.com/office/excel/2006/main">
          <x14:cfRule type="dataBar" id="{E44AEB64-55A9-47E1-9CC8-51351F532DFD}">
            <x14:dataBar minLength="0" maxLength="100" gradient="0">
              <x14:cfvo type="num">
                <xm:f>0</xm:f>
              </x14:cfvo>
              <x14:cfvo type="num">
                <xm:f>1</xm:f>
              </x14:cfvo>
              <x14:negativeFillColor rgb="FFFF0000"/>
              <x14:axisColor rgb="FF000000"/>
            </x14:dataBar>
          </x14:cfRule>
          <xm:sqref>K123</xm:sqref>
        </x14:conditionalFormatting>
        <x14:conditionalFormatting xmlns:xm="http://schemas.microsoft.com/office/excel/2006/main">
          <x14:cfRule type="dataBar" id="{DE1DFC8C-C481-452C-A077-50826879D1E0}">
            <x14:dataBar minLength="0" maxLength="100" gradient="0">
              <x14:cfvo type="num">
                <xm:f>0</xm:f>
              </x14:cfvo>
              <x14:cfvo type="num">
                <xm:f>1</xm:f>
              </x14:cfvo>
              <x14:negativeFillColor rgb="FFFF0000"/>
              <x14:axisColor rgb="FF000000"/>
            </x14:dataBar>
          </x14:cfRule>
          <xm:sqref>K122</xm:sqref>
        </x14:conditionalFormatting>
        <x14:conditionalFormatting xmlns:xm="http://schemas.microsoft.com/office/excel/2006/main">
          <x14:cfRule type="dataBar" id="{371BEDF4-D8DF-4EAB-B20D-3964A6666FDC}">
            <x14:dataBar minLength="0" maxLength="100" gradient="0">
              <x14:cfvo type="num">
                <xm:f>0</xm:f>
              </x14:cfvo>
              <x14:cfvo type="num">
                <xm:f>1</xm:f>
              </x14:cfvo>
              <x14:negativeFillColor rgb="FFFF0000"/>
              <x14:axisColor rgb="FF000000"/>
            </x14:dataBar>
          </x14:cfRule>
          <xm:sqref>P123</xm:sqref>
        </x14:conditionalFormatting>
        <x14:conditionalFormatting xmlns:xm="http://schemas.microsoft.com/office/excel/2006/main">
          <x14:cfRule type="dataBar" id="{28706059-1B86-4A6D-8DAF-02AD2C0A0650}">
            <x14:dataBar minLength="0" maxLength="100" gradient="0">
              <x14:cfvo type="num">
                <xm:f>0</xm:f>
              </x14:cfvo>
              <x14:cfvo type="num">
                <xm:f>1</xm:f>
              </x14:cfvo>
              <x14:negativeFillColor rgb="FFFF0000"/>
              <x14:axisColor rgb="FF000000"/>
            </x14:dataBar>
          </x14:cfRule>
          <xm:sqref>T127</xm:sqref>
        </x14:conditionalFormatting>
        <x14:conditionalFormatting xmlns:xm="http://schemas.microsoft.com/office/excel/2006/main">
          <x14:cfRule type="dataBar" id="{AB009893-F9F1-48F2-8657-DD65D3234B9B}">
            <x14:dataBar minLength="0" maxLength="100" gradient="0">
              <x14:cfvo type="num">
                <xm:f>0</xm:f>
              </x14:cfvo>
              <x14:cfvo type="num">
                <xm:f>1</xm:f>
              </x14:cfvo>
              <x14:negativeFillColor rgb="FFFF0000"/>
              <x14:axisColor rgb="FF000000"/>
            </x14:dataBar>
          </x14:cfRule>
          <xm:sqref>T129</xm:sqref>
        </x14:conditionalFormatting>
        <x14:conditionalFormatting xmlns:xm="http://schemas.microsoft.com/office/excel/2006/main">
          <x14:cfRule type="dataBar" id="{4D3CA628-A388-4862-8974-1582778649E2}">
            <x14:dataBar minLength="0" maxLength="100" gradient="0">
              <x14:cfvo type="num">
                <xm:f>0</xm:f>
              </x14:cfvo>
              <x14:cfvo type="num">
                <xm:f>1</xm:f>
              </x14:cfvo>
              <x14:negativeFillColor rgb="FFFF0000"/>
              <x14:axisColor rgb="FF000000"/>
            </x14:dataBar>
          </x14:cfRule>
          <xm:sqref>O128</xm:sqref>
        </x14:conditionalFormatting>
        <x14:conditionalFormatting xmlns:xm="http://schemas.microsoft.com/office/excel/2006/main">
          <x14:cfRule type="dataBar" id="{2369161B-4CED-48E6-95F3-25276D4AD4A4}">
            <x14:dataBar minLength="0" maxLength="100" gradient="0">
              <x14:cfvo type="num">
                <xm:f>0</xm:f>
              </x14:cfvo>
              <x14:cfvo type="num">
                <xm:f>1</xm:f>
              </x14:cfvo>
              <x14:negativeFillColor rgb="FFFF0000"/>
              <x14:axisColor rgb="FF000000"/>
            </x14:dataBar>
          </x14:cfRule>
          <xm:sqref>K128</xm:sqref>
        </x14:conditionalFormatting>
        <x14:conditionalFormatting xmlns:xm="http://schemas.microsoft.com/office/excel/2006/main">
          <x14:cfRule type="dataBar" id="{A46E030D-AFC2-4EE9-85D1-6C37042D25A1}">
            <x14:dataBar minLength="0" maxLength="100" gradient="0">
              <x14:cfvo type="num">
                <xm:f>0</xm:f>
              </x14:cfvo>
              <x14:cfvo type="num">
                <xm:f>1</xm:f>
              </x14:cfvo>
              <x14:negativeFillColor rgb="FFFF0000"/>
              <x14:axisColor rgb="FF000000"/>
            </x14:dataBar>
          </x14:cfRule>
          <xm:sqref>K127</xm:sqref>
        </x14:conditionalFormatting>
        <x14:conditionalFormatting xmlns:xm="http://schemas.microsoft.com/office/excel/2006/main">
          <x14:cfRule type="dataBar" id="{B90C4CC0-DF0C-4A68-BC9F-9C32B71C1204}">
            <x14:dataBar minLength="0" maxLength="100" gradient="0">
              <x14:cfvo type="num">
                <xm:f>0</xm:f>
              </x14:cfvo>
              <x14:cfvo type="num">
                <xm:f>1</xm:f>
              </x14:cfvo>
              <x14:negativeFillColor rgb="FFFF0000"/>
              <x14:axisColor rgb="FF000000"/>
            </x14:dataBar>
          </x14:cfRule>
          <xm:sqref>P128</xm:sqref>
        </x14:conditionalFormatting>
        <x14:conditionalFormatting xmlns:xm="http://schemas.microsoft.com/office/excel/2006/main">
          <x14:cfRule type="dataBar" id="{C16B5A1B-5635-4606-AB05-1244D2066D8A}">
            <x14:dataBar minLength="0" maxLength="100" gradient="0">
              <x14:cfvo type="num">
                <xm:f>0</xm:f>
              </x14:cfvo>
              <x14:cfvo type="num">
                <xm:f>1</xm:f>
              </x14:cfvo>
              <x14:negativeFillColor rgb="FFFF0000"/>
              <x14:axisColor rgb="FF000000"/>
            </x14:dataBar>
          </x14:cfRule>
          <xm:sqref>T132</xm:sqref>
        </x14:conditionalFormatting>
        <x14:conditionalFormatting xmlns:xm="http://schemas.microsoft.com/office/excel/2006/main">
          <x14:cfRule type="dataBar" id="{2CEB3BD8-2385-4384-A667-496BFB5539EE}">
            <x14:dataBar minLength="0" maxLength="100" gradient="0">
              <x14:cfvo type="num">
                <xm:f>0</xm:f>
              </x14:cfvo>
              <x14:cfvo type="num">
                <xm:f>1</xm:f>
              </x14:cfvo>
              <x14:negativeFillColor rgb="FFFF0000"/>
              <x14:axisColor rgb="FF000000"/>
            </x14:dataBar>
          </x14:cfRule>
          <xm:sqref>T134</xm:sqref>
        </x14:conditionalFormatting>
        <x14:conditionalFormatting xmlns:xm="http://schemas.microsoft.com/office/excel/2006/main">
          <x14:cfRule type="dataBar" id="{E0EE77AD-8AA0-4B88-BB67-CA9271887107}">
            <x14:dataBar minLength="0" maxLength="100" gradient="0">
              <x14:cfvo type="num">
                <xm:f>0</xm:f>
              </x14:cfvo>
              <x14:cfvo type="num">
                <xm:f>1</xm:f>
              </x14:cfvo>
              <x14:negativeFillColor rgb="FFFF0000"/>
              <x14:axisColor rgb="FF000000"/>
            </x14:dataBar>
          </x14:cfRule>
          <xm:sqref>O133</xm:sqref>
        </x14:conditionalFormatting>
        <x14:conditionalFormatting xmlns:xm="http://schemas.microsoft.com/office/excel/2006/main">
          <x14:cfRule type="dataBar" id="{187B8923-1E12-428B-A96B-A0F06856DD50}">
            <x14:dataBar minLength="0" maxLength="100" gradient="0">
              <x14:cfvo type="num">
                <xm:f>0</xm:f>
              </x14:cfvo>
              <x14:cfvo type="num">
                <xm:f>1</xm:f>
              </x14:cfvo>
              <x14:negativeFillColor rgb="FFFF0000"/>
              <x14:axisColor rgb="FF000000"/>
            </x14:dataBar>
          </x14:cfRule>
          <xm:sqref>K133</xm:sqref>
        </x14:conditionalFormatting>
        <x14:conditionalFormatting xmlns:xm="http://schemas.microsoft.com/office/excel/2006/main">
          <x14:cfRule type="dataBar" id="{223D6F0A-15A2-4435-82E3-2A8197786CBB}">
            <x14:dataBar minLength="0" maxLength="100" gradient="0">
              <x14:cfvo type="num">
                <xm:f>0</xm:f>
              </x14:cfvo>
              <x14:cfvo type="num">
                <xm:f>1</xm:f>
              </x14:cfvo>
              <x14:negativeFillColor rgb="FFFF0000"/>
              <x14:axisColor rgb="FF000000"/>
            </x14:dataBar>
          </x14:cfRule>
          <xm:sqref>K132</xm:sqref>
        </x14:conditionalFormatting>
        <x14:conditionalFormatting xmlns:xm="http://schemas.microsoft.com/office/excel/2006/main">
          <x14:cfRule type="dataBar" id="{185EA232-1BA7-4D89-A6F9-5BCB1B41CCD2}">
            <x14:dataBar minLength="0" maxLength="100" gradient="0">
              <x14:cfvo type="num">
                <xm:f>0</xm:f>
              </x14:cfvo>
              <x14:cfvo type="num">
                <xm:f>1</xm:f>
              </x14:cfvo>
              <x14:negativeFillColor rgb="FFFF0000"/>
              <x14:axisColor rgb="FF000000"/>
            </x14:dataBar>
          </x14:cfRule>
          <xm:sqref>P133</xm:sqref>
        </x14:conditionalFormatting>
        <x14:conditionalFormatting xmlns:xm="http://schemas.microsoft.com/office/excel/2006/main">
          <x14:cfRule type="dataBar" id="{6E34B005-16D4-4FDE-B679-C4C7C20F4CEC}">
            <x14:dataBar minLength="0" maxLength="100" gradient="0">
              <x14:cfvo type="num">
                <xm:f>0</xm:f>
              </x14:cfvo>
              <x14:cfvo type="num">
                <xm:f>1</xm:f>
              </x14:cfvo>
              <x14:negativeFillColor rgb="FFFF0000"/>
              <x14:axisColor rgb="FF000000"/>
            </x14:dataBar>
          </x14:cfRule>
          <xm:sqref>T137</xm:sqref>
        </x14:conditionalFormatting>
        <x14:conditionalFormatting xmlns:xm="http://schemas.microsoft.com/office/excel/2006/main">
          <x14:cfRule type="dataBar" id="{B97B83BA-D59D-4D60-B6F0-085E32D88490}">
            <x14:dataBar minLength="0" maxLength="100" gradient="0">
              <x14:cfvo type="num">
                <xm:f>0</xm:f>
              </x14:cfvo>
              <x14:cfvo type="num">
                <xm:f>1</xm:f>
              </x14:cfvo>
              <x14:negativeFillColor rgb="FFFF0000"/>
              <x14:axisColor rgb="FF000000"/>
            </x14:dataBar>
          </x14:cfRule>
          <xm:sqref>T139</xm:sqref>
        </x14:conditionalFormatting>
        <x14:conditionalFormatting xmlns:xm="http://schemas.microsoft.com/office/excel/2006/main">
          <x14:cfRule type="dataBar" id="{1D2B8A3F-7DCF-4286-8CE7-0D8AAB371E54}">
            <x14:dataBar minLength="0" maxLength="100" gradient="0">
              <x14:cfvo type="num">
                <xm:f>0</xm:f>
              </x14:cfvo>
              <x14:cfvo type="num">
                <xm:f>1</xm:f>
              </x14:cfvo>
              <x14:negativeFillColor rgb="FFFF0000"/>
              <x14:axisColor rgb="FF000000"/>
            </x14:dataBar>
          </x14:cfRule>
          <xm:sqref>O138</xm:sqref>
        </x14:conditionalFormatting>
        <x14:conditionalFormatting xmlns:xm="http://schemas.microsoft.com/office/excel/2006/main">
          <x14:cfRule type="dataBar" id="{B6BFA356-04FE-468E-BF89-4E9A17C7EB9E}">
            <x14:dataBar minLength="0" maxLength="100" gradient="0">
              <x14:cfvo type="num">
                <xm:f>0</xm:f>
              </x14:cfvo>
              <x14:cfvo type="num">
                <xm:f>1</xm:f>
              </x14:cfvo>
              <x14:negativeFillColor rgb="FFFF0000"/>
              <x14:axisColor rgb="FF000000"/>
            </x14:dataBar>
          </x14:cfRule>
          <xm:sqref>K138</xm:sqref>
        </x14:conditionalFormatting>
        <x14:conditionalFormatting xmlns:xm="http://schemas.microsoft.com/office/excel/2006/main">
          <x14:cfRule type="dataBar" id="{F9E20443-A9B6-4C0C-9020-99657A3BCF4B}">
            <x14:dataBar minLength="0" maxLength="100" gradient="0">
              <x14:cfvo type="num">
                <xm:f>0</xm:f>
              </x14:cfvo>
              <x14:cfvo type="num">
                <xm:f>1</xm:f>
              </x14:cfvo>
              <x14:negativeFillColor rgb="FFFF0000"/>
              <x14:axisColor rgb="FF000000"/>
            </x14:dataBar>
          </x14:cfRule>
          <xm:sqref>K137</xm:sqref>
        </x14:conditionalFormatting>
        <x14:conditionalFormatting xmlns:xm="http://schemas.microsoft.com/office/excel/2006/main">
          <x14:cfRule type="dataBar" id="{3AED9D13-E3DA-4D19-8615-FECCCFCE4A3A}">
            <x14:dataBar minLength="0" maxLength="100" gradient="0">
              <x14:cfvo type="num">
                <xm:f>0</xm:f>
              </x14:cfvo>
              <x14:cfvo type="num">
                <xm:f>1</xm:f>
              </x14:cfvo>
              <x14:negativeFillColor rgb="FFFF0000"/>
              <x14:axisColor rgb="FF000000"/>
            </x14:dataBar>
          </x14:cfRule>
          <xm:sqref>P138</xm:sqref>
        </x14:conditionalFormatting>
        <x14:conditionalFormatting xmlns:xm="http://schemas.microsoft.com/office/excel/2006/main">
          <x14:cfRule type="dataBar" id="{DFAE0A35-CD5D-4635-B487-D14559171429}">
            <x14:dataBar minLength="0" maxLength="100" gradient="0">
              <x14:cfvo type="num">
                <xm:f>0</xm:f>
              </x14:cfvo>
              <x14:cfvo type="num">
                <xm:f>1</xm:f>
              </x14:cfvo>
              <x14:negativeFillColor rgb="FFFF0000"/>
              <x14:axisColor rgb="FF000000"/>
            </x14:dataBar>
          </x14:cfRule>
          <xm:sqref>T142</xm:sqref>
        </x14:conditionalFormatting>
        <x14:conditionalFormatting xmlns:xm="http://schemas.microsoft.com/office/excel/2006/main">
          <x14:cfRule type="dataBar" id="{7566424C-9497-4123-983E-788770C5AA3E}">
            <x14:dataBar minLength="0" maxLength="100" gradient="0">
              <x14:cfvo type="num">
                <xm:f>0</xm:f>
              </x14:cfvo>
              <x14:cfvo type="num">
                <xm:f>1</xm:f>
              </x14:cfvo>
              <x14:negativeFillColor rgb="FFFF0000"/>
              <x14:axisColor rgb="FF000000"/>
            </x14:dataBar>
          </x14:cfRule>
          <xm:sqref>T144</xm:sqref>
        </x14:conditionalFormatting>
        <x14:conditionalFormatting xmlns:xm="http://schemas.microsoft.com/office/excel/2006/main">
          <x14:cfRule type="dataBar" id="{07D7BB64-4130-4D40-B010-F631832007B0}">
            <x14:dataBar minLength="0" maxLength="100" gradient="0">
              <x14:cfvo type="num">
                <xm:f>0</xm:f>
              </x14:cfvo>
              <x14:cfvo type="num">
                <xm:f>1</xm:f>
              </x14:cfvo>
              <x14:negativeFillColor rgb="FFFF0000"/>
              <x14:axisColor rgb="FF000000"/>
            </x14:dataBar>
          </x14:cfRule>
          <xm:sqref>O143</xm:sqref>
        </x14:conditionalFormatting>
        <x14:conditionalFormatting xmlns:xm="http://schemas.microsoft.com/office/excel/2006/main">
          <x14:cfRule type="dataBar" id="{4BF316DC-9AFE-4BE9-A4CA-A31883023607}">
            <x14:dataBar minLength="0" maxLength="100" gradient="0">
              <x14:cfvo type="num">
                <xm:f>0</xm:f>
              </x14:cfvo>
              <x14:cfvo type="num">
                <xm:f>1</xm:f>
              </x14:cfvo>
              <x14:negativeFillColor rgb="FFFF0000"/>
              <x14:axisColor rgb="FF000000"/>
            </x14:dataBar>
          </x14:cfRule>
          <xm:sqref>K143</xm:sqref>
        </x14:conditionalFormatting>
        <x14:conditionalFormatting xmlns:xm="http://schemas.microsoft.com/office/excel/2006/main">
          <x14:cfRule type="dataBar" id="{2AE3EA02-EB6B-40C4-95AE-B68EC92AA7E3}">
            <x14:dataBar minLength="0" maxLength="100" gradient="0">
              <x14:cfvo type="num">
                <xm:f>0</xm:f>
              </x14:cfvo>
              <x14:cfvo type="num">
                <xm:f>1</xm:f>
              </x14:cfvo>
              <x14:negativeFillColor rgb="FFFF0000"/>
              <x14:axisColor rgb="FF000000"/>
            </x14:dataBar>
          </x14:cfRule>
          <xm:sqref>K142</xm:sqref>
        </x14:conditionalFormatting>
        <x14:conditionalFormatting xmlns:xm="http://schemas.microsoft.com/office/excel/2006/main">
          <x14:cfRule type="dataBar" id="{5CD0F6AD-87BE-43CE-BAF8-B94F88B450B1}">
            <x14:dataBar minLength="0" maxLength="100" gradient="0">
              <x14:cfvo type="num">
                <xm:f>0</xm:f>
              </x14:cfvo>
              <x14:cfvo type="num">
                <xm:f>1</xm:f>
              </x14:cfvo>
              <x14:negativeFillColor rgb="FFFF0000"/>
              <x14:axisColor rgb="FF000000"/>
            </x14:dataBar>
          </x14:cfRule>
          <xm:sqref>P143</xm:sqref>
        </x14:conditionalFormatting>
        <x14:conditionalFormatting xmlns:xm="http://schemas.microsoft.com/office/excel/2006/main">
          <x14:cfRule type="dataBar" id="{EFA0C8E3-4F3D-4A1E-8463-657E573B4C4D}">
            <x14:dataBar minLength="0" maxLength="100" gradient="0">
              <x14:cfvo type="num">
                <xm:f>0</xm:f>
              </x14:cfvo>
              <x14:cfvo type="num">
                <xm:f>1</xm:f>
              </x14:cfvo>
              <x14:negativeFillColor rgb="FFFF0000"/>
              <x14:axisColor rgb="FF000000"/>
            </x14:dataBar>
          </x14:cfRule>
          <xm:sqref>T22</xm:sqref>
        </x14:conditionalFormatting>
        <x14:conditionalFormatting xmlns:xm="http://schemas.microsoft.com/office/excel/2006/main">
          <x14:cfRule type="dataBar" id="{6B5D26F5-7C27-4E3F-88C4-413C3EA29075}">
            <x14:dataBar minLength="0" maxLength="100" gradient="0">
              <x14:cfvo type="num">
                <xm:f>0</xm:f>
              </x14:cfvo>
              <x14:cfvo type="num">
                <xm:f>1</xm:f>
              </x14:cfvo>
              <x14:negativeFillColor rgb="FFFF0000"/>
              <x14:axisColor rgb="FF000000"/>
            </x14:dataBar>
          </x14:cfRule>
          <xm:sqref>T24</xm:sqref>
        </x14:conditionalFormatting>
        <x14:conditionalFormatting xmlns:xm="http://schemas.microsoft.com/office/excel/2006/main">
          <x14:cfRule type="dataBar" id="{DFEED74B-D31E-41D2-ADED-8A786C652168}">
            <x14:dataBar minLength="0" maxLength="100" gradient="0">
              <x14:cfvo type="num">
                <xm:f>0</xm:f>
              </x14:cfvo>
              <x14:cfvo type="num">
                <xm:f>1</xm:f>
              </x14:cfvo>
              <x14:negativeFillColor rgb="FFFF0000"/>
              <x14:axisColor rgb="FF000000"/>
            </x14:dataBar>
          </x14:cfRule>
          <xm:sqref>O23</xm:sqref>
        </x14:conditionalFormatting>
        <x14:conditionalFormatting xmlns:xm="http://schemas.microsoft.com/office/excel/2006/main">
          <x14:cfRule type="dataBar" id="{72E4D83E-EF31-4E27-9929-37309E0F96CC}">
            <x14:dataBar minLength="0" maxLength="100" gradient="0">
              <x14:cfvo type="num">
                <xm:f>0</xm:f>
              </x14:cfvo>
              <x14:cfvo type="num">
                <xm:f>1</xm:f>
              </x14:cfvo>
              <x14:negativeFillColor rgb="FFFF0000"/>
              <x14:axisColor rgb="FF000000"/>
            </x14:dataBar>
          </x14:cfRule>
          <xm:sqref>K23</xm:sqref>
        </x14:conditionalFormatting>
        <x14:conditionalFormatting xmlns:xm="http://schemas.microsoft.com/office/excel/2006/main">
          <x14:cfRule type="dataBar" id="{5283AE4E-FC58-494A-8629-A5E95404F1AF}">
            <x14:dataBar minLength="0" maxLength="100" gradient="0">
              <x14:cfvo type="num">
                <xm:f>0</xm:f>
              </x14:cfvo>
              <x14:cfvo type="num">
                <xm:f>1</xm:f>
              </x14:cfvo>
              <x14:negativeFillColor rgb="FFFF0000"/>
              <x14:axisColor rgb="FF000000"/>
            </x14:dataBar>
          </x14:cfRule>
          <xm:sqref>K22</xm:sqref>
        </x14:conditionalFormatting>
        <x14:conditionalFormatting xmlns:xm="http://schemas.microsoft.com/office/excel/2006/main">
          <x14:cfRule type="dataBar" id="{7822F852-864C-41DF-8520-CE282265CE02}">
            <x14:dataBar minLength="0" maxLength="100" gradient="0">
              <x14:cfvo type="num">
                <xm:f>0</xm:f>
              </x14:cfvo>
              <x14:cfvo type="num">
                <xm:f>1</xm:f>
              </x14:cfvo>
              <x14:negativeFillColor rgb="FFFF0000"/>
              <x14:axisColor rgb="FF000000"/>
            </x14:dataBar>
          </x14:cfRule>
          <xm:sqref>P23</xm:sqref>
        </x14:conditionalFormatting>
        <x14:conditionalFormatting xmlns:xm="http://schemas.microsoft.com/office/excel/2006/main">
          <x14:cfRule type="dataBar" id="{CF25AEE2-A9CD-4BFE-8401-06E9B7AE7734}">
            <x14:dataBar minLength="0" maxLength="100" gradient="0">
              <x14:cfvo type="num">
                <xm:f>0</xm:f>
              </x14:cfvo>
              <x14:cfvo type="num">
                <xm:f>1</xm:f>
              </x14:cfvo>
              <x14:negativeFillColor rgb="FFFF0000"/>
              <x14:axisColor rgb="FF000000"/>
            </x14:dataBar>
          </x14:cfRule>
          <xm:sqref>T27</xm:sqref>
        </x14:conditionalFormatting>
        <x14:conditionalFormatting xmlns:xm="http://schemas.microsoft.com/office/excel/2006/main">
          <x14:cfRule type="dataBar" id="{A536A062-3764-49B7-9A48-F6DB0950B123}">
            <x14:dataBar minLength="0" maxLength="100" gradient="0">
              <x14:cfvo type="num">
                <xm:f>0</xm:f>
              </x14:cfvo>
              <x14:cfvo type="num">
                <xm:f>1</xm:f>
              </x14:cfvo>
              <x14:negativeFillColor rgb="FFFF0000"/>
              <x14:axisColor rgb="FF000000"/>
            </x14:dataBar>
          </x14:cfRule>
          <xm:sqref>T29</xm:sqref>
        </x14:conditionalFormatting>
        <x14:conditionalFormatting xmlns:xm="http://schemas.microsoft.com/office/excel/2006/main">
          <x14:cfRule type="dataBar" id="{C42CA7B3-1680-4E28-94CB-69375E97E53D}">
            <x14:dataBar minLength="0" maxLength="100" gradient="0">
              <x14:cfvo type="num">
                <xm:f>0</xm:f>
              </x14:cfvo>
              <x14:cfvo type="num">
                <xm:f>1</xm:f>
              </x14:cfvo>
              <x14:negativeFillColor rgb="FFFF0000"/>
              <x14:axisColor rgb="FF000000"/>
            </x14:dataBar>
          </x14:cfRule>
          <xm:sqref>O28</xm:sqref>
        </x14:conditionalFormatting>
        <x14:conditionalFormatting xmlns:xm="http://schemas.microsoft.com/office/excel/2006/main">
          <x14:cfRule type="dataBar" id="{C9B5C4BC-FC9F-4667-8B75-E4724D515E67}">
            <x14:dataBar minLength="0" maxLength="100" gradient="0">
              <x14:cfvo type="num">
                <xm:f>0</xm:f>
              </x14:cfvo>
              <x14:cfvo type="num">
                <xm:f>1</xm:f>
              </x14:cfvo>
              <x14:negativeFillColor rgb="FFFF0000"/>
              <x14:axisColor rgb="FF000000"/>
            </x14:dataBar>
          </x14:cfRule>
          <xm:sqref>K28</xm:sqref>
        </x14:conditionalFormatting>
        <x14:conditionalFormatting xmlns:xm="http://schemas.microsoft.com/office/excel/2006/main">
          <x14:cfRule type="dataBar" id="{3EB7EA06-D8E6-436E-ADB9-3E89DBF738E7}">
            <x14:dataBar minLength="0" maxLength="100" gradient="0">
              <x14:cfvo type="num">
                <xm:f>0</xm:f>
              </x14:cfvo>
              <x14:cfvo type="num">
                <xm:f>1</xm:f>
              </x14:cfvo>
              <x14:negativeFillColor rgb="FFFF0000"/>
              <x14:axisColor rgb="FF000000"/>
            </x14:dataBar>
          </x14:cfRule>
          <xm:sqref>K27</xm:sqref>
        </x14:conditionalFormatting>
        <x14:conditionalFormatting xmlns:xm="http://schemas.microsoft.com/office/excel/2006/main">
          <x14:cfRule type="dataBar" id="{7DEBC0B5-250F-4F14-95C6-22BEB66DD2C0}">
            <x14:dataBar minLength="0" maxLength="100" gradient="0">
              <x14:cfvo type="num">
                <xm:f>0</xm:f>
              </x14:cfvo>
              <x14:cfvo type="num">
                <xm:f>1</xm:f>
              </x14:cfvo>
              <x14:negativeFillColor rgb="FFFF0000"/>
              <x14:axisColor rgb="FF000000"/>
            </x14:dataBar>
          </x14:cfRule>
          <xm:sqref>P28</xm:sqref>
        </x14:conditionalFormatting>
        <x14:conditionalFormatting xmlns:xm="http://schemas.microsoft.com/office/excel/2006/main">
          <x14:cfRule type="dataBar" id="{F038DFF0-0775-4763-BDC8-BE90105EC75B}">
            <x14:dataBar minLength="0" maxLength="100" gradient="0">
              <x14:cfvo type="num">
                <xm:f>0</xm:f>
              </x14:cfvo>
              <x14:cfvo type="num">
                <xm:f>1</xm:f>
              </x14:cfvo>
              <x14:negativeFillColor rgb="FFFF0000"/>
              <x14:axisColor rgb="FF000000"/>
            </x14:dataBar>
          </x14:cfRule>
          <xm:sqref>T32</xm:sqref>
        </x14:conditionalFormatting>
        <x14:conditionalFormatting xmlns:xm="http://schemas.microsoft.com/office/excel/2006/main">
          <x14:cfRule type="dataBar" id="{52849A9A-B2B4-42B9-A856-9F1ABF86BC00}">
            <x14:dataBar minLength="0" maxLength="100" gradient="0">
              <x14:cfvo type="num">
                <xm:f>0</xm:f>
              </x14:cfvo>
              <x14:cfvo type="num">
                <xm:f>1</xm:f>
              </x14:cfvo>
              <x14:negativeFillColor rgb="FFFF0000"/>
              <x14:axisColor rgb="FF000000"/>
            </x14:dataBar>
          </x14:cfRule>
          <xm:sqref>T34</xm:sqref>
        </x14:conditionalFormatting>
        <x14:conditionalFormatting xmlns:xm="http://schemas.microsoft.com/office/excel/2006/main">
          <x14:cfRule type="dataBar" id="{B873ED4F-958F-4884-BC8A-2AE2B1D0FE63}">
            <x14:dataBar minLength="0" maxLength="100" gradient="0">
              <x14:cfvo type="num">
                <xm:f>0</xm:f>
              </x14:cfvo>
              <x14:cfvo type="num">
                <xm:f>1</xm:f>
              </x14:cfvo>
              <x14:negativeFillColor rgb="FFFF0000"/>
              <x14:axisColor rgb="FF000000"/>
            </x14:dataBar>
          </x14:cfRule>
          <xm:sqref>O33</xm:sqref>
        </x14:conditionalFormatting>
        <x14:conditionalFormatting xmlns:xm="http://schemas.microsoft.com/office/excel/2006/main">
          <x14:cfRule type="dataBar" id="{7E3B6C85-CD3E-44B3-AC9C-6BF48720AF72}">
            <x14:dataBar minLength="0" maxLength="100" gradient="0">
              <x14:cfvo type="num">
                <xm:f>0</xm:f>
              </x14:cfvo>
              <x14:cfvo type="num">
                <xm:f>1</xm:f>
              </x14:cfvo>
              <x14:negativeFillColor rgb="FFFF0000"/>
              <x14:axisColor rgb="FF000000"/>
            </x14:dataBar>
          </x14:cfRule>
          <xm:sqref>K33</xm:sqref>
        </x14:conditionalFormatting>
        <x14:conditionalFormatting xmlns:xm="http://schemas.microsoft.com/office/excel/2006/main">
          <x14:cfRule type="dataBar" id="{7541ABE6-CE94-45B0-A92A-3F8D8A1D40D9}">
            <x14:dataBar minLength="0" maxLength="100" gradient="0">
              <x14:cfvo type="num">
                <xm:f>0</xm:f>
              </x14:cfvo>
              <x14:cfvo type="num">
                <xm:f>1</xm:f>
              </x14:cfvo>
              <x14:negativeFillColor rgb="FFFF0000"/>
              <x14:axisColor rgb="FF000000"/>
            </x14:dataBar>
          </x14:cfRule>
          <xm:sqref>K32</xm:sqref>
        </x14:conditionalFormatting>
        <x14:conditionalFormatting xmlns:xm="http://schemas.microsoft.com/office/excel/2006/main">
          <x14:cfRule type="dataBar" id="{FD424797-ABF8-43EA-B825-65834915FEB4}">
            <x14:dataBar minLength="0" maxLength="100" gradient="0">
              <x14:cfvo type="num">
                <xm:f>0</xm:f>
              </x14:cfvo>
              <x14:cfvo type="num">
                <xm:f>1</xm:f>
              </x14:cfvo>
              <x14:negativeFillColor rgb="FFFF0000"/>
              <x14:axisColor rgb="FF000000"/>
            </x14:dataBar>
          </x14:cfRule>
          <xm:sqref>P33</xm:sqref>
        </x14:conditionalFormatting>
        <x14:conditionalFormatting xmlns:xm="http://schemas.microsoft.com/office/excel/2006/main">
          <x14:cfRule type="dataBar" id="{F4D65930-E13E-4BAE-92FA-2855AC5D583F}">
            <x14:dataBar minLength="0" maxLength="100" gradient="0">
              <x14:cfvo type="num">
                <xm:f>0</xm:f>
              </x14:cfvo>
              <x14:cfvo type="num">
                <xm:f>1</xm:f>
              </x14:cfvo>
              <x14:negativeFillColor rgb="FFFF0000"/>
              <x14:axisColor rgb="FF000000"/>
            </x14:dataBar>
          </x14:cfRule>
          <xm:sqref>T37</xm:sqref>
        </x14:conditionalFormatting>
        <x14:conditionalFormatting xmlns:xm="http://schemas.microsoft.com/office/excel/2006/main">
          <x14:cfRule type="dataBar" id="{AE39997E-2A76-424D-B307-F8253EBD9087}">
            <x14:dataBar minLength="0" maxLength="100" gradient="0">
              <x14:cfvo type="num">
                <xm:f>0</xm:f>
              </x14:cfvo>
              <x14:cfvo type="num">
                <xm:f>1</xm:f>
              </x14:cfvo>
              <x14:negativeFillColor rgb="FFFF0000"/>
              <x14:axisColor rgb="FF000000"/>
            </x14:dataBar>
          </x14:cfRule>
          <xm:sqref>T39</xm:sqref>
        </x14:conditionalFormatting>
        <x14:conditionalFormatting xmlns:xm="http://schemas.microsoft.com/office/excel/2006/main">
          <x14:cfRule type="dataBar" id="{FE003112-086D-4DF1-AC15-85B36F23B2BD}">
            <x14:dataBar minLength="0" maxLength="100" gradient="0">
              <x14:cfvo type="num">
                <xm:f>0</xm:f>
              </x14:cfvo>
              <x14:cfvo type="num">
                <xm:f>1</xm:f>
              </x14:cfvo>
              <x14:negativeFillColor rgb="FFFF0000"/>
              <x14:axisColor rgb="FF000000"/>
            </x14:dataBar>
          </x14:cfRule>
          <xm:sqref>O38</xm:sqref>
        </x14:conditionalFormatting>
        <x14:conditionalFormatting xmlns:xm="http://schemas.microsoft.com/office/excel/2006/main">
          <x14:cfRule type="dataBar" id="{C219B9BC-33CE-4E73-8DC1-052E64C88DB1}">
            <x14:dataBar minLength="0" maxLength="100" gradient="0">
              <x14:cfvo type="num">
                <xm:f>0</xm:f>
              </x14:cfvo>
              <x14:cfvo type="num">
                <xm:f>1</xm:f>
              </x14:cfvo>
              <x14:negativeFillColor rgb="FFFF0000"/>
              <x14:axisColor rgb="FF000000"/>
            </x14:dataBar>
          </x14:cfRule>
          <xm:sqref>K38</xm:sqref>
        </x14:conditionalFormatting>
        <x14:conditionalFormatting xmlns:xm="http://schemas.microsoft.com/office/excel/2006/main">
          <x14:cfRule type="dataBar" id="{64F09695-BA1F-431A-92D6-593B877236CE}">
            <x14:dataBar minLength="0" maxLength="100" gradient="0">
              <x14:cfvo type="num">
                <xm:f>0</xm:f>
              </x14:cfvo>
              <x14:cfvo type="num">
                <xm:f>1</xm:f>
              </x14:cfvo>
              <x14:negativeFillColor rgb="FFFF0000"/>
              <x14:axisColor rgb="FF000000"/>
            </x14:dataBar>
          </x14:cfRule>
          <xm:sqref>K37</xm:sqref>
        </x14:conditionalFormatting>
        <x14:conditionalFormatting xmlns:xm="http://schemas.microsoft.com/office/excel/2006/main">
          <x14:cfRule type="dataBar" id="{CD5F967E-50AC-4D5B-A36A-0EBEBD2B7DFF}">
            <x14:dataBar minLength="0" maxLength="100" gradient="0">
              <x14:cfvo type="num">
                <xm:f>0</xm:f>
              </x14:cfvo>
              <x14:cfvo type="num">
                <xm:f>1</xm:f>
              </x14:cfvo>
              <x14:negativeFillColor rgb="FFFF0000"/>
              <x14:axisColor rgb="FF000000"/>
            </x14:dataBar>
          </x14:cfRule>
          <xm:sqref>P38</xm:sqref>
        </x14:conditionalFormatting>
        <x14:conditionalFormatting xmlns:xm="http://schemas.microsoft.com/office/excel/2006/main">
          <x14:cfRule type="dataBar" id="{A296C54C-60EE-4D16-AF6B-6E3DDB872C08}">
            <x14:dataBar minLength="0" maxLength="100" gradient="0">
              <x14:cfvo type="num">
                <xm:f>0</xm:f>
              </x14:cfvo>
              <x14:cfvo type="num">
                <xm:f>1</xm:f>
              </x14:cfvo>
              <x14:negativeFillColor rgb="FFFF0000"/>
              <x14:axisColor rgb="FF000000"/>
            </x14:dataBar>
          </x14:cfRule>
          <xm:sqref>T42</xm:sqref>
        </x14:conditionalFormatting>
        <x14:conditionalFormatting xmlns:xm="http://schemas.microsoft.com/office/excel/2006/main">
          <x14:cfRule type="dataBar" id="{67122014-4329-4D54-9C15-CF1D1ABABE25}">
            <x14:dataBar minLength="0" maxLength="100" gradient="0">
              <x14:cfvo type="num">
                <xm:f>0</xm:f>
              </x14:cfvo>
              <x14:cfvo type="num">
                <xm:f>1</xm:f>
              </x14:cfvo>
              <x14:negativeFillColor rgb="FFFF0000"/>
              <x14:axisColor rgb="FF000000"/>
            </x14:dataBar>
          </x14:cfRule>
          <xm:sqref>T44</xm:sqref>
        </x14:conditionalFormatting>
        <x14:conditionalFormatting xmlns:xm="http://schemas.microsoft.com/office/excel/2006/main">
          <x14:cfRule type="dataBar" id="{0FC463E5-84B1-408B-B1FF-EE0FAACDB849}">
            <x14:dataBar minLength="0" maxLength="100" gradient="0">
              <x14:cfvo type="num">
                <xm:f>0</xm:f>
              </x14:cfvo>
              <x14:cfvo type="num">
                <xm:f>1</xm:f>
              </x14:cfvo>
              <x14:negativeFillColor rgb="FFFF0000"/>
              <x14:axisColor rgb="FF000000"/>
            </x14:dataBar>
          </x14:cfRule>
          <xm:sqref>O43</xm:sqref>
        </x14:conditionalFormatting>
        <x14:conditionalFormatting xmlns:xm="http://schemas.microsoft.com/office/excel/2006/main">
          <x14:cfRule type="dataBar" id="{3256A9A8-2119-4746-8738-F88F5148A4B0}">
            <x14:dataBar minLength="0" maxLength="100" gradient="0">
              <x14:cfvo type="num">
                <xm:f>0</xm:f>
              </x14:cfvo>
              <x14:cfvo type="num">
                <xm:f>1</xm:f>
              </x14:cfvo>
              <x14:negativeFillColor rgb="FFFF0000"/>
              <x14:axisColor rgb="FF000000"/>
            </x14:dataBar>
          </x14:cfRule>
          <xm:sqref>K43</xm:sqref>
        </x14:conditionalFormatting>
        <x14:conditionalFormatting xmlns:xm="http://schemas.microsoft.com/office/excel/2006/main">
          <x14:cfRule type="dataBar" id="{FFB59E70-1E33-4F97-B031-23A892590A3D}">
            <x14:dataBar minLength="0" maxLength="100" gradient="0">
              <x14:cfvo type="num">
                <xm:f>0</xm:f>
              </x14:cfvo>
              <x14:cfvo type="num">
                <xm:f>1</xm:f>
              </x14:cfvo>
              <x14:negativeFillColor rgb="FFFF0000"/>
              <x14:axisColor rgb="FF000000"/>
            </x14:dataBar>
          </x14:cfRule>
          <xm:sqref>K42</xm:sqref>
        </x14:conditionalFormatting>
        <x14:conditionalFormatting xmlns:xm="http://schemas.microsoft.com/office/excel/2006/main">
          <x14:cfRule type="dataBar" id="{74F91B27-A48B-4B51-AF4B-2FDE8A164EED}">
            <x14:dataBar minLength="0" maxLength="100" gradient="0">
              <x14:cfvo type="num">
                <xm:f>0</xm:f>
              </x14:cfvo>
              <x14:cfvo type="num">
                <xm:f>1</xm:f>
              </x14:cfvo>
              <x14:negativeFillColor rgb="FFFF0000"/>
              <x14:axisColor rgb="FF000000"/>
            </x14:dataBar>
          </x14:cfRule>
          <xm:sqref>P43</xm:sqref>
        </x14:conditionalFormatting>
        <x14:conditionalFormatting xmlns:xm="http://schemas.microsoft.com/office/excel/2006/main">
          <x14:cfRule type="dataBar" id="{A6F220C3-D266-46B2-91C9-44D673D27BDE}">
            <x14:dataBar minLength="0" maxLength="100" gradient="0">
              <x14:cfvo type="num">
                <xm:f>0</xm:f>
              </x14:cfvo>
              <x14:cfvo type="num">
                <xm:f>1</xm:f>
              </x14:cfvo>
              <x14:negativeFillColor rgb="FFFF0000"/>
              <x14:axisColor rgb="FF000000"/>
            </x14:dataBar>
          </x14:cfRule>
          <xm:sqref>T47</xm:sqref>
        </x14:conditionalFormatting>
        <x14:conditionalFormatting xmlns:xm="http://schemas.microsoft.com/office/excel/2006/main">
          <x14:cfRule type="dataBar" id="{CF137A02-3A1A-4061-A76E-F14B7D2879A5}">
            <x14:dataBar minLength="0" maxLength="100" gradient="0">
              <x14:cfvo type="num">
                <xm:f>0</xm:f>
              </x14:cfvo>
              <x14:cfvo type="num">
                <xm:f>1</xm:f>
              </x14:cfvo>
              <x14:negativeFillColor rgb="FFFF0000"/>
              <x14:axisColor rgb="FF000000"/>
            </x14:dataBar>
          </x14:cfRule>
          <xm:sqref>T49</xm:sqref>
        </x14:conditionalFormatting>
        <x14:conditionalFormatting xmlns:xm="http://schemas.microsoft.com/office/excel/2006/main">
          <x14:cfRule type="dataBar" id="{89A19250-F129-4F38-BB5C-5EFEBAAF4CB0}">
            <x14:dataBar minLength="0" maxLength="100" gradient="0">
              <x14:cfvo type="num">
                <xm:f>0</xm:f>
              </x14:cfvo>
              <x14:cfvo type="num">
                <xm:f>1</xm:f>
              </x14:cfvo>
              <x14:negativeFillColor rgb="FFFF0000"/>
              <x14:axisColor rgb="FF000000"/>
            </x14:dataBar>
          </x14:cfRule>
          <xm:sqref>O48</xm:sqref>
        </x14:conditionalFormatting>
        <x14:conditionalFormatting xmlns:xm="http://schemas.microsoft.com/office/excel/2006/main">
          <x14:cfRule type="dataBar" id="{83D8918E-E53E-43D9-AE84-487B15ABC1DB}">
            <x14:dataBar minLength="0" maxLength="100" gradient="0">
              <x14:cfvo type="num">
                <xm:f>0</xm:f>
              </x14:cfvo>
              <x14:cfvo type="num">
                <xm:f>1</xm:f>
              </x14:cfvo>
              <x14:negativeFillColor rgb="FFFF0000"/>
              <x14:axisColor rgb="FF000000"/>
            </x14:dataBar>
          </x14:cfRule>
          <xm:sqref>K48</xm:sqref>
        </x14:conditionalFormatting>
        <x14:conditionalFormatting xmlns:xm="http://schemas.microsoft.com/office/excel/2006/main">
          <x14:cfRule type="dataBar" id="{D2E9FD97-40D5-4968-82C7-22071247CCAE}">
            <x14:dataBar minLength="0" maxLength="100" gradient="0">
              <x14:cfvo type="num">
                <xm:f>0</xm:f>
              </x14:cfvo>
              <x14:cfvo type="num">
                <xm:f>1</xm:f>
              </x14:cfvo>
              <x14:negativeFillColor rgb="FFFF0000"/>
              <x14:axisColor rgb="FF000000"/>
            </x14:dataBar>
          </x14:cfRule>
          <xm:sqref>K47</xm:sqref>
        </x14:conditionalFormatting>
        <x14:conditionalFormatting xmlns:xm="http://schemas.microsoft.com/office/excel/2006/main">
          <x14:cfRule type="dataBar" id="{543C13F1-F227-4C9E-809C-EC05BC98FB0B}">
            <x14:dataBar minLength="0" maxLength="100" gradient="0">
              <x14:cfvo type="num">
                <xm:f>0</xm:f>
              </x14:cfvo>
              <x14:cfvo type="num">
                <xm:f>1</xm:f>
              </x14:cfvo>
              <x14:negativeFillColor rgb="FFFF0000"/>
              <x14:axisColor rgb="FF000000"/>
            </x14:dataBar>
          </x14:cfRule>
          <xm:sqref>P48</xm:sqref>
        </x14:conditionalFormatting>
        <x14:conditionalFormatting xmlns:xm="http://schemas.microsoft.com/office/excel/2006/main">
          <x14:cfRule type="dataBar" id="{AA3DA05C-F70D-4F74-8A67-324E12B1EEC7}">
            <x14:dataBar minLength="0" maxLength="100" gradient="0">
              <x14:cfvo type="num">
                <xm:f>0</xm:f>
              </x14:cfvo>
              <x14:cfvo type="num">
                <xm:f>1</xm:f>
              </x14:cfvo>
              <x14:negativeFillColor rgb="FFFF0000"/>
              <x14:axisColor rgb="FF000000"/>
            </x14:dataBar>
          </x14:cfRule>
          <xm:sqref>T52</xm:sqref>
        </x14:conditionalFormatting>
        <x14:conditionalFormatting xmlns:xm="http://schemas.microsoft.com/office/excel/2006/main">
          <x14:cfRule type="dataBar" id="{29F497F7-B181-494B-ABF1-0F82AD5ECE81}">
            <x14:dataBar minLength="0" maxLength="100" gradient="0">
              <x14:cfvo type="num">
                <xm:f>0</xm:f>
              </x14:cfvo>
              <x14:cfvo type="num">
                <xm:f>1</xm:f>
              </x14:cfvo>
              <x14:negativeFillColor rgb="FFFF0000"/>
              <x14:axisColor rgb="FF000000"/>
            </x14:dataBar>
          </x14:cfRule>
          <xm:sqref>T54</xm:sqref>
        </x14:conditionalFormatting>
        <x14:conditionalFormatting xmlns:xm="http://schemas.microsoft.com/office/excel/2006/main">
          <x14:cfRule type="dataBar" id="{5C3FE44A-2002-473B-BA73-738F85F48267}">
            <x14:dataBar minLength="0" maxLength="100" gradient="0">
              <x14:cfvo type="num">
                <xm:f>0</xm:f>
              </x14:cfvo>
              <x14:cfvo type="num">
                <xm:f>1</xm:f>
              </x14:cfvo>
              <x14:negativeFillColor rgb="FFFF0000"/>
              <x14:axisColor rgb="FF000000"/>
            </x14:dataBar>
          </x14:cfRule>
          <xm:sqref>O53</xm:sqref>
        </x14:conditionalFormatting>
        <x14:conditionalFormatting xmlns:xm="http://schemas.microsoft.com/office/excel/2006/main">
          <x14:cfRule type="dataBar" id="{BE3678A7-FA13-4A2B-8755-6F7B4C9D1FDA}">
            <x14:dataBar minLength="0" maxLength="100" gradient="0">
              <x14:cfvo type="num">
                <xm:f>0</xm:f>
              </x14:cfvo>
              <x14:cfvo type="num">
                <xm:f>1</xm:f>
              </x14:cfvo>
              <x14:negativeFillColor rgb="FFFF0000"/>
              <x14:axisColor rgb="FF000000"/>
            </x14:dataBar>
          </x14:cfRule>
          <xm:sqref>K53</xm:sqref>
        </x14:conditionalFormatting>
        <x14:conditionalFormatting xmlns:xm="http://schemas.microsoft.com/office/excel/2006/main">
          <x14:cfRule type="dataBar" id="{72F2BE66-08F3-4B93-B7A7-4AA21FEBF1D3}">
            <x14:dataBar minLength="0" maxLength="100" gradient="0">
              <x14:cfvo type="num">
                <xm:f>0</xm:f>
              </x14:cfvo>
              <x14:cfvo type="num">
                <xm:f>1</xm:f>
              </x14:cfvo>
              <x14:negativeFillColor rgb="FFFF0000"/>
              <x14:axisColor rgb="FF000000"/>
            </x14:dataBar>
          </x14:cfRule>
          <xm:sqref>K52</xm:sqref>
        </x14:conditionalFormatting>
        <x14:conditionalFormatting xmlns:xm="http://schemas.microsoft.com/office/excel/2006/main">
          <x14:cfRule type="dataBar" id="{BE3E1056-3B41-4C61-BB0A-2ED2618A6136}">
            <x14:dataBar minLength="0" maxLength="100" gradient="0">
              <x14:cfvo type="num">
                <xm:f>0</xm:f>
              </x14:cfvo>
              <x14:cfvo type="num">
                <xm:f>1</xm:f>
              </x14:cfvo>
              <x14:negativeFillColor rgb="FFFF0000"/>
              <x14:axisColor rgb="FF000000"/>
            </x14:dataBar>
          </x14:cfRule>
          <xm:sqref>P53</xm:sqref>
        </x14:conditionalFormatting>
        <x14:conditionalFormatting xmlns:xm="http://schemas.microsoft.com/office/excel/2006/main">
          <x14:cfRule type="dataBar" id="{37553F79-348C-44D4-AF3F-2F7425F80ABD}">
            <x14:dataBar minLength="0" maxLength="100" gradient="0">
              <x14:cfvo type="num">
                <xm:f>0</xm:f>
              </x14:cfvo>
              <x14:cfvo type="num">
                <xm:f>1</xm:f>
              </x14:cfvo>
              <x14:negativeFillColor rgb="FFFF0000"/>
              <x14:axisColor rgb="FF000000"/>
            </x14:dataBar>
          </x14:cfRule>
          <xm:sqref>T147</xm:sqref>
        </x14:conditionalFormatting>
        <x14:conditionalFormatting xmlns:xm="http://schemas.microsoft.com/office/excel/2006/main">
          <x14:cfRule type="dataBar" id="{E7D02E8F-F063-4455-9E61-7B8EC1685D95}">
            <x14:dataBar minLength="0" maxLength="100" gradient="0">
              <x14:cfvo type="num">
                <xm:f>0</xm:f>
              </x14:cfvo>
              <x14:cfvo type="num">
                <xm:f>1</xm:f>
              </x14:cfvo>
              <x14:negativeFillColor rgb="FFFF0000"/>
              <x14:axisColor rgb="FF000000"/>
            </x14:dataBar>
          </x14:cfRule>
          <xm:sqref>T153</xm:sqref>
        </x14:conditionalFormatting>
        <x14:conditionalFormatting xmlns:xm="http://schemas.microsoft.com/office/excel/2006/main">
          <x14:cfRule type="dataBar" id="{737824F7-4739-46EA-982A-DC5C74A77B97}">
            <x14:dataBar minLength="0" maxLength="100" gradient="0">
              <x14:cfvo type="num">
                <xm:f>0</xm:f>
              </x14:cfvo>
              <x14:cfvo type="num">
                <xm:f>1</xm:f>
              </x14:cfvo>
              <x14:negativeFillColor rgb="FFFF0000"/>
              <x14:axisColor rgb="FF000000"/>
            </x14:dataBar>
          </x14:cfRule>
          <xm:sqref>K147</xm:sqref>
        </x14:conditionalFormatting>
        <x14:conditionalFormatting xmlns:xm="http://schemas.microsoft.com/office/excel/2006/main">
          <x14:cfRule type="dataBar" id="{D9D27C01-C9FF-447E-B837-05BB0E3EDACD}">
            <x14:dataBar minLength="0" maxLength="100" gradient="0">
              <x14:cfvo type="num">
                <xm:f>0</xm:f>
              </x14:cfvo>
              <x14:cfvo type="num">
                <xm:f>1</xm:f>
              </x14:cfvo>
              <x14:negativeFillColor rgb="FFFF0000"/>
              <x14:axisColor rgb="FF000000"/>
            </x14:dataBar>
          </x14:cfRule>
          <xm:sqref>O152</xm:sqref>
        </x14:conditionalFormatting>
        <x14:conditionalFormatting xmlns:xm="http://schemas.microsoft.com/office/excel/2006/main">
          <x14:cfRule type="dataBar" id="{39727DE6-5460-46C9-8138-1C38401304D2}">
            <x14:dataBar minLength="0" maxLength="100" gradient="0">
              <x14:cfvo type="num">
                <xm:f>0</xm:f>
              </x14:cfvo>
              <x14:cfvo type="num">
                <xm:f>1</xm:f>
              </x14:cfvo>
              <x14:negativeFillColor rgb="FFFF0000"/>
              <x14:axisColor rgb="FF000000"/>
            </x14:dataBar>
          </x14:cfRule>
          <xm:sqref>P152</xm:sqref>
        </x14:conditionalFormatting>
        <x14:conditionalFormatting xmlns:xm="http://schemas.microsoft.com/office/excel/2006/main">
          <x14:cfRule type="dataBar" id="{9A0407E0-6096-48F0-AAEB-AAB723493407}">
            <x14:dataBar minLength="0" maxLength="100" gradient="0">
              <x14:cfvo type="num">
                <xm:f>0</xm:f>
              </x14:cfvo>
              <x14:cfvo type="num">
                <xm:f>1</xm:f>
              </x14:cfvo>
              <x14:negativeFillColor rgb="FFFF0000"/>
              <x14:axisColor rgb="FF000000"/>
            </x14:dataBar>
          </x14:cfRule>
          <xm:sqref>K152</xm:sqref>
        </x14:conditionalFormatting>
        <x14:conditionalFormatting xmlns:xm="http://schemas.microsoft.com/office/excel/2006/main">
          <x14:cfRule type="dataBar" id="{499C7A54-C267-449F-BB72-43E0BFDC21B2}">
            <x14:dataBar minLength="0" maxLength="100" gradient="0">
              <x14:cfvo type="num">
                <xm:f>0</xm:f>
              </x14:cfvo>
              <x14:cfvo type="num">
                <xm:f>1</xm:f>
              </x14:cfvo>
              <x14:negativeFillColor rgb="FFFF0000"/>
              <x14:axisColor rgb="FF000000"/>
            </x14:dataBar>
          </x14:cfRule>
          <xm:sqref>T151</xm:sqref>
        </x14:conditionalFormatting>
        <x14:conditionalFormatting xmlns:xm="http://schemas.microsoft.com/office/excel/2006/main">
          <x14:cfRule type="dataBar" id="{6246226F-017D-4C9D-908C-042AD9B04751}">
            <x14:dataBar minLength="0" maxLength="100" gradient="0">
              <x14:cfvo type="num">
                <xm:f>0</xm:f>
              </x14:cfvo>
              <x14:cfvo type="num">
                <xm:f>1</xm:f>
              </x14:cfvo>
              <x14:negativeFillColor rgb="FFFF0000"/>
              <x14:axisColor rgb="FF000000"/>
            </x14:dataBar>
          </x14:cfRule>
          <xm:sqref>T148</xm:sqref>
        </x14:conditionalFormatting>
        <x14:conditionalFormatting xmlns:xm="http://schemas.microsoft.com/office/excel/2006/main">
          <x14:cfRule type="dataBar" id="{CBD1C1BA-E8CC-43CC-9B40-88C9BE796C59}">
            <x14:dataBar minLength="0" maxLength="100" gradient="0">
              <x14:cfvo type="num">
                <xm:f>0</xm:f>
              </x14:cfvo>
              <x14:cfvo type="num">
                <xm:f>1</xm:f>
              </x14:cfvo>
              <x14:negativeFillColor rgb="FFFF0000"/>
              <x14:axisColor rgb="FF000000"/>
            </x14:dataBar>
          </x14:cfRule>
          <xm:sqref>K151</xm:sqref>
        </x14:conditionalFormatting>
        <x14:conditionalFormatting xmlns:xm="http://schemas.microsoft.com/office/excel/2006/main">
          <x14:cfRule type="dataBar" id="{557DF1DE-54A1-4834-A0C5-592F88719924}">
            <x14:dataBar minLength="0" maxLength="100" gradient="0">
              <x14:cfvo type="num">
                <xm:f>0</xm:f>
              </x14:cfvo>
              <x14:cfvo type="num">
                <xm:f>1</xm:f>
              </x14:cfvo>
              <x14:negativeFillColor rgb="FFFF0000"/>
              <x14:axisColor rgb="FF000000"/>
            </x14:dataBar>
          </x14:cfRule>
          <xm:sqref>T156</xm:sqref>
        </x14:conditionalFormatting>
        <x14:conditionalFormatting xmlns:xm="http://schemas.microsoft.com/office/excel/2006/main">
          <x14:cfRule type="dataBar" id="{D0A4CFF6-D7DB-4501-AF91-6E11226D0E05}">
            <x14:dataBar minLength="0" maxLength="100" gradient="0">
              <x14:cfvo type="num">
                <xm:f>0</xm:f>
              </x14:cfvo>
              <x14:cfvo type="num">
                <xm:f>1</xm:f>
              </x14:cfvo>
              <x14:negativeFillColor rgb="FFFF0000"/>
              <x14:axisColor rgb="FF000000"/>
            </x14:dataBar>
          </x14:cfRule>
          <xm:sqref>T158</xm:sqref>
        </x14:conditionalFormatting>
        <x14:conditionalFormatting xmlns:xm="http://schemas.microsoft.com/office/excel/2006/main">
          <x14:cfRule type="dataBar" id="{8A1A8257-B55A-42B5-BEC0-981C557FD8BE}">
            <x14:dataBar minLength="0" maxLength="100" gradient="0">
              <x14:cfvo type="num">
                <xm:f>0</xm:f>
              </x14:cfvo>
              <x14:cfvo type="num">
                <xm:f>1</xm:f>
              </x14:cfvo>
              <x14:negativeFillColor rgb="FFFF0000"/>
              <x14:axisColor rgb="FF000000"/>
            </x14:dataBar>
          </x14:cfRule>
          <xm:sqref>O157</xm:sqref>
        </x14:conditionalFormatting>
        <x14:conditionalFormatting xmlns:xm="http://schemas.microsoft.com/office/excel/2006/main">
          <x14:cfRule type="dataBar" id="{359FA6BD-E1BE-4814-8930-8E2494FFE6EC}">
            <x14:dataBar minLength="0" maxLength="100" gradient="0">
              <x14:cfvo type="num">
                <xm:f>0</xm:f>
              </x14:cfvo>
              <x14:cfvo type="num">
                <xm:f>1</xm:f>
              </x14:cfvo>
              <x14:negativeFillColor rgb="FFFF0000"/>
              <x14:axisColor rgb="FF000000"/>
            </x14:dataBar>
          </x14:cfRule>
          <xm:sqref>K157</xm:sqref>
        </x14:conditionalFormatting>
        <x14:conditionalFormatting xmlns:xm="http://schemas.microsoft.com/office/excel/2006/main">
          <x14:cfRule type="dataBar" id="{B45D12AB-F1CD-4E8D-AF2C-F4E5A032E0BC}">
            <x14:dataBar minLength="0" maxLength="100" gradient="0">
              <x14:cfvo type="num">
                <xm:f>0</xm:f>
              </x14:cfvo>
              <x14:cfvo type="num">
                <xm:f>1</xm:f>
              </x14:cfvo>
              <x14:negativeFillColor rgb="FFFF0000"/>
              <x14:axisColor rgb="FF000000"/>
            </x14:dataBar>
          </x14:cfRule>
          <xm:sqref>K156</xm:sqref>
        </x14:conditionalFormatting>
        <x14:conditionalFormatting xmlns:xm="http://schemas.microsoft.com/office/excel/2006/main">
          <x14:cfRule type="dataBar" id="{3FB4ECC0-58C3-4745-AE37-F9D10FB6F164}">
            <x14:dataBar minLength="0" maxLength="100" gradient="0">
              <x14:cfvo type="num">
                <xm:f>0</xm:f>
              </x14:cfvo>
              <x14:cfvo type="num">
                <xm:f>1</xm:f>
              </x14:cfvo>
              <x14:negativeFillColor rgb="FFFF0000"/>
              <x14:axisColor rgb="FF000000"/>
            </x14:dataBar>
          </x14:cfRule>
          <xm:sqref>P157</xm:sqref>
        </x14:conditionalFormatting>
        <x14:conditionalFormatting xmlns:xm="http://schemas.microsoft.com/office/excel/2006/main">
          <x14:cfRule type="dataBar" id="{1DFC9263-829A-4119-92E1-F86DE3676003}">
            <x14:dataBar minLength="0" maxLength="100" gradient="0">
              <x14:cfvo type="num">
                <xm:f>0</xm:f>
              </x14:cfvo>
              <x14:cfvo type="num">
                <xm:f>1</xm:f>
              </x14:cfvo>
              <x14:negativeFillColor rgb="FFFF0000"/>
              <x14:axisColor rgb="FF000000"/>
            </x14:dataBar>
          </x14:cfRule>
          <xm:sqref>T161</xm:sqref>
        </x14:conditionalFormatting>
        <x14:conditionalFormatting xmlns:xm="http://schemas.microsoft.com/office/excel/2006/main">
          <x14:cfRule type="dataBar" id="{CF09CF26-8FEC-4A09-A224-C169264E29ED}">
            <x14:dataBar minLength="0" maxLength="100" gradient="0">
              <x14:cfvo type="num">
                <xm:f>0</xm:f>
              </x14:cfvo>
              <x14:cfvo type="num">
                <xm:f>1</xm:f>
              </x14:cfvo>
              <x14:negativeFillColor rgb="FFFF0000"/>
              <x14:axisColor rgb="FF000000"/>
            </x14:dataBar>
          </x14:cfRule>
          <xm:sqref>T163</xm:sqref>
        </x14:conditionalFormatting>
        <x14:conditionalFormatting xmlns:xm="http://schemas.microsoft.com/office/excel/2006/main">
          <x14:cfRule type="dataBar" id="{174416EC-0DB3-489B-8E11-F43A5E435668}">
            <x14:dataBar minLength="0" maxLength="100" gradient="0">
              <x14:cfvo type="num">
                <xm:f>0</xm:f>
              </x14:cfvo>
              <x14:cfvo type="num">
                <xm:f>1</xm:f>
              </x14:cfvo>
              <x14:negativeFillColor rgb="FFFF0000"/>
              <x14:axisColor rgb="FF000000"/>
            </x14:dataBar>
          </x14:cfRule>
          <xm:sqref>O162</xm:sqref>
        </x14:conditionalFormatting>
        <x14:conditionalFormatting xmlns:xm="http://schemas.microsoft.com/office/excel/2006/main">
          <x14:cfRule type="dataBar" id="{7E1BDECC-C35C-43B3-B713-C3CC99284793}">
            <x14:dataBar minLength="0" maxLength="100" gradient="0">
              <x14:cfvo type="num">
                <xm:f>0</xm:f>
              </x14:cfvo>
              <x14:cfvo type="num">
                <xm:f>1</xm:f>
              </x14:cfvo>
              <x14:negativeFillColor rgb="FFFF0000"/>
              <x14:axisColor rgb="FF000000"/>
            </x14:dataBar>
          </x14:cfRule>
          <xm:sqref>K162</xm:sqref>
        </x14:conditionalFormatting>
        <x14:conditionalFormatting xmlns:xm="http://schemas.microsoft.com/office/excel/2006/main">
          <x14:cfRule type="dataBar" id="{8587D939-514A-45FF-B3CC-4391AFA45816}">
            <x14:dataBar minLength="0" maxLength="100" gradient="0">
              <x14:cfvo type="num">
                <xm:f>0</xm:f>
              </x14:cfvo>
              <x14:cfvo type="num">
                <xm:f>1</xm:f>
              </x14:cfvo>
              <x14:negativeFillColor rgb="FFFF0000"/>
              <x14:axisColor rgb="FF000000"/>
            </x14:dataBar>
          </x14:cfRule>
          <xm:sqref>K161</xm:sqref>
        </x14:conditionalFormatting>
        <x14:conditionalFormatting xmlns:xm="http://schemas.microsoft.com/office/excel/2006/main">
          <x14:cfRule type="dataBar" id="{638410E4-33A9-43AB-97EC-919C1C8E58D0}">
            <x14:dataBar minLength="0" maxLength="100" gradient="0">
              <x14:cfvo type="num">
                <xm:f>0</xm:f>
              </x14:cfvo>
              <x14:cfvo type="num">
                <xm:f>1</xm:f>
              </x14:cfvo>
              <x14:negativeFillColor rgb="FFFF0000"/>
              <x14:axisColor rgb="FF000000"/>
            </x14:dataBar>
          </x14:cfRule>
          <xm:sqref>P162</xm:sqref>
        </x14:conditionalFormatting>
        <x14:conditionalFormatting xmlns:xm="http://schemas.microsoft.com/office/excel/2006/main">
          <x14:cfRule type="dataBar" id="{C8D5FE9C-7A8C-430E-8C48-CB5FEC6DCD82}">
            <x14:dataBar minLength="0" maxLength="100" gradient="0">
              <x14:cfvo type="num">
                <xm:f>0</xm:f>
              </x14:cfvo>
              <x14:cfvo type="num">
                <xm:f>1</xm:f>
              </x14:cfvo>
              <x14:negativeFillColor rgb="FFFF0000"/>
              <x14:axisColor rgb="FF000000"/>
            </x14:dataBar>
          </x14:cfRule>
          <xm:sqref>T166</xm:sqref>
        </x14:conditionalFormatting>
        <x14:conditionalFormatting xmlns:xm="http://schemas.microsoft.com/office/excel/2006/main">
          <x14:cfRule type="dataBar" id="{FA168901-F302-4DC3-9988-7945ACBBB853}">
            <x14:dataBar minLength="0" maxLength="100" gradient="0">
              <x14:cfvo type="num">
                <xm:f>0</xm:f>
              </x14:cfvo>
              <x14:cfvo type="num">
                <xm:f>1</xm:f>
              </x14:cfvo>
              <x14:negativeFillColor rgb="FFFF0000"/>
              <x14:axisColor rgb="FF000000"/>
            </x14:dataBar>
          </x14:cfRule>
          <xm:sqref>T168</xm:sqref>
        </x14:conditionalFormatting>
        <x14:conditionalFormatting xmlns:xm="http://schemas.microsoft.com/office/excel/2006/main">
          <x14:cfRule type="dataBar" id="{7A3DB2C6-D579-48C8-8C49-1F0AC555AEC3}">
            <x14:dataBar minLength="0" maxLength="100" gradient="0">
              <x14:cfvo type="num">
                <xm:f>0</xm:f>
              </x14:cfvo>
              <x14:cfvo type="num">
                <xm:f>1</xm:f>
              </x14:cfvo>
              <x14:negativeFillColor rgb="FFFF0000"/>
              <x14:axisColor rgb="FF000000"/>
            </x14:dataBar>
          </x14:cfRule>
          <xm:sqref>O167</xm:sqref>
        </x14:conditionalFormatting>
        <x14:conditionalFormatting xmlns:xm="http://schemas.microsoft.com/office/excel/2006/main">
          <x14:cfRule type="dataBar" id="{55AC9D8F-D68C-4EE0-A262-37F882073BFA}">
            <x14:dataBar minLength="0" maxLength="100" gradient="0">
              <x14:cfvo type="num">
                <xm:f>0</xm:f>
              </x14:cfvo>
              <x14:cfvo type="num">
                <xm:f>1</xm:f>
              </x14:cfvo>
              <x14:negativeFillColor rgb="FFFF0000"/>
              <x14:axisColor rgb="FF000000"/>
            </x14:dataBar>
          </x14:cfRule>
          <xm:sqref>K167</xm:sqref>
        </x14:conditionalFormatting>
        <x14:conditionalFormatting xmlns:xm="http://schemas.microsoft.com/office/excel/2006/main">
          <x14:cfRule type="dataBar" id="{8245EE28-0130-40F9-BE96-4BA86E62FA7A}">
            <x14:dataBar minLength="0" maxLength="100" gradient="0">
              <x14:cfvo type="num">
                <xm:f>0</xm:f>
              </x14:cfvo>
              <x14:cfvo type="num">
                <xm:f>1</xm:f>
              </x14:cfvo>
              <x14:negativeFillColor rgb="FFFF0000"/>
              <x14:axisColor rgb="FF000000"/>
            </x14:dataBar>
          </x14:cfRule>
          <xm:sqref>K166</xm:sqref>
        </x14:conditionalFormatting>
        <x14:conditionalFormatting xmlns:xm="http://schemas.microsoft.com/office/excel/2006/main">
          <x14:cfRule type="dataBar" id="{AF7BAD9E-5C7F-4D3A-A420-60EFEF63719F}">
            <x14:dataBar minLength="0" maxLength="100" gradient="0">
              <x14:cfvo type="num">
                <xm:f>0</xm:f>
              </x14:cfvo>
              <x14:cfvo type="num">
                <xm:f>1</xm:f>
              </x14:cfvo>
              <x14:negativeFillColor rgb="FFFF0000"/>
              <x14:axisColor rgb="FF000000"/>
            </x14:dataBar>
          </x14:cfRule>
          <xm:sqref>P167</xm:sqref>
        </x14:conditionalFormatting>
        <x14:conditionalFormatting xmlns:xm="http://schemas.microsoft.com/office/excel/2006/main">
          <x14:cfRule type="dataBar" id="{7F01EABC-23B7-4E22-B200-E9EF563AF777}">
            <x14:dataBar minLength="0" maxLength="100" gradient="0">
              <x14:cfvo type="num">
                <xm:f>0</xm:f>
              </x14:cfvo>
              <x14:cfvo type="num">
                <xm:f>1</xm:f>
              </x14:cfvo>
              <x14:negativeFillColor rgb="FFFF0000"/>
              <x14:axisColor rgb="FF000000"/>
            </x14:dataBar>
          </x14:cfRule>
          <xm:sqref>T171</xm:sqref>
        </x14:conditionalFormatting>
        <x14:conditionalFormatting xmlns:xm="http://schemas.microsoft.com/office/excel/2006/main">
          <x14:cfRule type="dataBar" id="{5AB01F56-7CF9-4A09-AF33-33A5442FBCFB}">
            <x14:dataBar minLength="0" maxLength="100" gradient="0">
              <x14:cfvo type="num">
                <xm:f>0</xm:f>
              </x14:cfvo>
              <x14:cfvo type="num">
                <xm:f>1</xm:f>
              </x14:cfvo>
              <x14:negativeFillColor rgb="FFFF0000"/>
              <x14:axisColor rgb="FF000000"/>
            </x14:dataBar>
          </x14:cfRule>
          <xm:sqref>T173</xm:sqref>
        </x14:conditionalFormatting>
        <x14:conditionalFormatting xmlns:xm="http://schemas.microsoft.com/office/excel/2006/main">
          <x14:cfRule type="dataBar" id="{60BB014B-E0B7-4864-97C3-A95B9B77C002}">
            <x14:dataBar minLength="0" maxLength="100" gradient="0">
              <x14:cfvo type="num">
                <xm:f>0</xm:f>
              </x14:cfvo>
              <x14:cfvo type="num">
                <xm:f>1</xm:f>
              </x14:cfvo>
              <x14:negativeFillColor rgb="FFFF0000"/>
              <x14:axisColor rgb="FF000000"/>
            </x14:dataBar>
          </x14:cfRule>
          <xm:sqref>O172</xm:sqref>
        </x14:conditionalFormatting>
        <x14:conditionalFormatting xmlns:xm="http://schemas.microsoft.com/office/excel/2006/main">
          <x14:cfRule type="dataBar" id="{EFAFC132-F9B3-4421-B87C-6E9CF3CDA8D6}">
            <x14:dataBar minLength="0" maxLength="100" gradient="0">
              <x14:cfvo type="num">
                <xm:f>0</xm:f>
              </x14:cfvo>
              <x14:cfvo type="num">
                <xm:f>1</xm:f>
              </x14:cfvo>
              <x14:negativeFillColor rgb="FFFF0000"/>
              <x14:axisColor rgb="FF000000"/>
            </x14:dataBar>
          </x14:cfRule>
          <xm:sqref>K172</xm:sqref>
        </x14:conditionalFormatting>
        <x14:conditionalFormatting xmlns:xm="http://schemas.microsoft.com/office/excel/2006/main">
          <x14:cfRule type="dataBar" id="{BBE7381D-B6BA-4B6A-96BD-200815F71569}">
            <x14:dataBar minLength="0" maxLength="100" gradient="0">
              <x14:cfvo type="num">
                <xm:f>0</xm:f>
              </x14:cfvo>
              <x14:cfvo type="num">
                <xm:f>1</xm:f>
              </x14:cfvo>
              <x14:negativeFillColor rgb="FFFF0000"/>
              <x14:axisColor rgb="FF000000"/>
            </x14:dataBar>
          </x14:cfRule>
          <xm:sqref>K171</xm:sqref>
        </x14:conditionalFormatting>
        <x14:conditionalFormatting xmlns:xm="http://schemas.microsoft.com/office/excel/2006/main">
          <x14:cfRule type="dataBar" id="{1B3919D4-0D6B-4801-9F9C-9CE427436A62}">
            <x14:dataBar minLength="0" maxLength="100" gradient="0">
              <x14:cfvo type="num">
                <xm:f>0</xm:f>
              </x14:cfvo>
              <x14:cfvo type="num">
                <xm:f>1</xm:f>
              </x14:cfvo>
              <x14:negativeFillColor rgb="FFFF0000"/>
              <x14:axisColor rgb="FF000000"/>
            </x14:dataBar>
          </x14:cfRule>
          <xm:sqref>P172</xm:sqref>
        </x14:conditionalFormatting>
        <x14:conditionalFormatting xmlns:xm="http://schemas.microsoft.com/office/excel/2006/main">
          <x14:cfRule type="cellIs" priority="966" operator="lessThan" id="{FE807FD5-863A-4EF5-9A36-3492F7B5CCCF}">
            <xm:f>(1-Projekteinstellungen!$K$9)*$R$4</xm:f>
            <x14:dxf>
              <fill>
                <patternFill patternType="solid">
                  <fgColor auto="1"/>
                  <bgColor rgb="FFFFD966"/>
                </patternFill>
              </fill>
            </x14:dxf>
          </x14:cfRule>
          <x14:cfRule type="cellIs" priority="967" operator="greaterThan" id="{513F42F7-9E0B-4608-9E8F-04A070B549ED}">
            <xm:f>(1+Projekteinstellungen!$K$9)*$R$4</xm:f>
            <x14:dxf>
              <fill>
                <patternFill patternType="solid">
                  <fgColor auto="1"/>
                  <bgColor rgb="FFF55F5F"/>
                </patternFill>
              </fill>
            </x14:dxf>
          </x14:cfRule>
          <xm:sqref>R5</xm:sqref>
        </x14:conditionalFormatting>
        <x14:conditionalFormatting xmlns:xm="http://schemas.microsoft.com/office/excel/2006/main">
          <x14:cfRule type="cellIs" priority="979" operator="greaterThanOrEqual" id="{4FB57E88-74F7-45F6-A534-A15025C2377F}">
            <xm:f>Projekteinstellungen!$C$9</xm:f>
            <x14:dxf>
              <fill>
                <patternFill patternType="solid">
                  <fgColor auto="1"/>
                  <bgColor rgb="FFF55F5F"/>
                </patternFill>
              </fill>
            </x14:dxf>
          </x14:cfRule>
          <xm:sqref>W3:W4</xm:sqref>
        </x14:conditionalFormatting>
        <x14:conditionalFormatting xmlns:xm="http://schemas.microsoft.com/office/excel/2006/main">
          <x14:cfRule type="cellIs" priority="965" operator="greaterThan" id="{268C2306-3EB3-44FD-8957-EF3104F62E92}">
            <xm:f>(1+Projekteinstellungen!$K$9)*$S$4</xm:f>
            <x14:dxf>
              <fill>
                <patternFill patternType="solid">
                  <fgColor auto="1"/>
                  <bgColor rgb="FFF55F5F"/>
                </patternFill>
              </fill>
            </x14:dxf>
          </x14:cfRule>
          <xm:sqref>S5</xm:sqref>
        </x14:conditionalFormatting>
        <x14:conditionalFormatting xmlns:xm="http://schemas.microsoft.com/office/excel/2006/main">
          <x14:cfRule type="cellIs" priority="886" operator="greaterThanOrEqual" id="{B7762128-6866-44BA-A575-EC7AA6A54FDD}">
            <xm:f>Projekteinstellungen!$C$9</xm:f>
            <x14:dxf>
              <fill>
                <patternFill patternType="solid">
                  <fgColor auto="1"/>
                  <bgColor rgb="FFF55F5F"/>
                </patternFill>
              </fill>
            </x14:dxf>
          </x14:cfRule>
          <xm:sqref>W8</xm:sqref>
        </x14:conditionalFormatting>
        <x14:conditionalFormatting xmlns:xm="http://schemas.microsoft.com/office/excel/2006/main">
          <x14:cfRule type="cellIs" priority="866" operator="greaterThanOrEqual" id="{FF44EF27-CBCD-424E-8FEB-E5527C0C2E61}">
            <xm:f>Projekteinstellungen!$C$9</xm:f>
            <x14:dxf>
              <fill>
                <patternFill patternType="solid">
                  <fgColor auto="1"/>
                  <bgColor rgb="FFF55F5F"/>
                </patternFill>
              </fill>
            </x14:dxf>
          </x14:cfRule>
          <xm:sqref>W12</xm:sqref>
        </x14:conditionalFormatting>
        <x14:conditionalFormatting xmlns:xm="http://schemas.microsoft.com/office/excel/2006/main">
          <x14:cfRule type="cellIs" priority="848" operator="greaterThanOrEqual" id="{FC582102-D3DC-413B-ABBA-FC12775840DA}">
            <xm:f>Projekteinstellungen!$C$9</xm:f>
            <x14:dxf>
              <fill>
                <patternFill patternType="solid">
                  <fgColor auto="1"/>
                  <bgColor rgb="FFF55F5F"/>
                </patternFill>
              </fill>
            </x14:dxf>
          </x14:cfRule>
          <xm:sqref>W57</xm:sqref>
        </x14:conditionalFormatting>
        <x14:conditionalFormatting xmlns:xm="http://schemas.microsoft.com/office/excel/2006/main">
          <x14:cfRule type="cellIs" priority="821" operator="greaterThanOrEqual" id="{19D310E2-16CC-4DAD-83BC-2831139DE775}">
            <xm:f>Projekteinstellungen!$C$9</xm:f>
            <x14:dxf>
              <fill>
                <patternFill patternType="solid">
                  <fgColor auto="1"/>
                  <bgColor rgb="FFF55F5F"/>
                </patternFill>
              </fill>
            </x14:dxf>
          </x14:cfRule>
          <xm:sqref>W62</xm:sqref>
        </x14:conditionalFormatting>
        <x14:conditionalFormatting xmlns:xm="http://schemas.microsoft.com/office/excel/2006/main">
          <x14:cfRule type="cellIs" priority="794" operator="greaterThanOrEqual" id="{F8A64BEF-64DB-4DC4-A226-7D75DE995D61}">
            <xm:f>Projekteinstellungen!$C$9</xm:f>
            <x14:dxf>
              <fill>
                <patternFill patternType="solid">
                  <fgColor auto="1"/>
                  <bgColor rgb="FFF55F5F"/>
                </patternFill>
              </fill>
            </x14:dxf>
          </x14:cfRule>
          <xm:sqref>W67</xm:sqref>
        </x14:conditionalFormatting>
        <x14:conditionalFormatting xmlns:xm="http://schemas.microsoft.com/office/excel/2006/main">
          <x14:cfRule type="cellIs" priority="767" operator="greaterThanOrEqual" id="{3C76D36B-F295-4BF4-B0C5-B9AAE2F91925}">
            <xm:f>Projekteinstellungen!$C$9</xm:f>
            <x14:dxf>
              <fill>
                <patternFill patternType="solid">
                  <fgColor auto="1"/>
                  <bgColor rgb="FFF55F5F"/>
                </patternFill>
              </fill>
            </x14:dxf>
          </x14:cfRule>
          <xm:sqref>W72</xm:sqref>
        </x14:conditionalFormatting>
        <x14:conditionalFormatting xmlns:xm="http://schemas.microsoft.com/office/excel/2006/main">
          <x14:cfRule type="cellIs" priority="740" operator="greaterThanOrEqual" id="{5798A24D-23DE-4E50-B80E-44799B0426D3}">
            <xm:f>Projekteinstellungen!$C$9</xm:f>
            <x14:dxf>
              <fill>
                <patternFill patternType="solid">
                  <fgColor auto="1"/>
                  <bgColor rgb="FFF55F5F"/>
                </patternFill>
              </fill>
            </x14:dxf>
          </x14:cfRule>
          <xm:sqref>W77</xm:sqref>
        </x14:conditionalFormatting>
        <x14:conditionalFormatting xmlns:xm="http://schemas.microsoft.com/office/excel/2006/main">
          <x14:cfRule type="cellIs" priority="713" operator="greaterThanOrEqual" id="{B4EEB7D6-2B88-4E73-B0C7-3F2EA067024B}">
            <xm:f>Projekteinstellungen!$C$9</xm:f>
            <x14:dxf>
              <fill>
                <patternFill patternType="solid">
                  <fgColor auto="1"/>
                  <bgColor rgb="FFF55F5F"/>
                </patternFill>
              </fill>
            </x14:dxf>
          </x14:cfRule>
          <xm:sqref>W82</xm:sqref>
        </x14:conditionalFormatting>
        <x14:conditionalFormatting xmlns:xm="http://schemas.microsoft.com/office/excel/2006/main">
          <x14:cfRule type="cellIs" priority="686" operator="greaterThanOrEqual" id="{C8B52953-DD73-495F-A8FD-784B43C78CBD}">
            <xm:f>Projekteinstellungen!$C$9</xm:f>
            <x14:dxf>
              <fill>
                <patternFill patternType="solid">
                  <fgColor auto="1"/>
                  <bgColor rgb="FFF55F5F"/>
                </patternFill>
              </fill>
            </x14:dxf>
          </x14:cfRule>
          <xm:sqref>W87</xm:sqref>
        </x14:conditionalFormatting>
        <x14:conditionalFormatting xmlns:xm="http://schemas.microsoft.com/office/excel/2006/main">
          <x14:cfRule type="cellIs" priority="659" operator="greaterThanOrEqual" id="{CDF86B84-9EF4-4E5A-B9A2-7289D872D183}">
            <xm:f>Projekteinstellungen!$C$9</xm:f>
            <x14:dxf>
              <fill>
                <patternFill patternType="solid">
                  <fgColor auto="1"/>
                  <bgColor rgb="FFF55F5F"/>
                </patternFill>
              </fill>
            </x14:dxf>
          </x14:cfRule>
          <xm:sqref>W92</xm:sqref>
        </x14:conditionalFormatting>
        <x14:conditionalFormatting xmlns:xm="http://schemas.microsoft.com/office/excel/2006/main">
          <x14:cfRule type="cellIs" priority="632" operator="greaterThanOrEqual" id="{ED8A1810-6113-4E15-940E-8F773FC0A72F}">
            <xm:f>Projekteinstellungen!$C$9</xm:f>
            <x14:dxf>
              <fill>
                <patternFill patternType="solid">
                  <fgColor auto="1"/>
                  <bgColor rgb="FFF55F5F"/>
                </patternFill>
              </fill>
            </x14:dxf>
          </x14:cfRule>
          <xm:sqref>W97</xm:sqref>
        </x14:conditionalFormatting>
        <x14:conditionalFormatting xmlns:xm="http://schemas.microsoft.com/office/excel/2006/main">
          <x14:cfRule type="cellIs" priority="605" operator="greaterThanOrEqual" id="{73E45683-24CB-4261-A011-C23511CAF423}">
            <xm:f>Projekteinstellungen!$C$9</xm:f>
            <x14:dxf>
              <fill>
                <patternFill patternType="solid">
                  <fgColor auto="1"/>
                  <bgColor rgb="FFF55F5F"/>
                </patternFill>
              </fill>
            </x14:dxf>
          </x14:cfRule>
          <xm:sqref>W102</xm:sqref>
        </x14:conditionalFormatting>
        <x14:conditionalFormatting xmlns:xm="http://schemas.microsoft.com/office/excel/2006/main">
          <x14:cfRule type="cellIs" priority="578" operator="greaterThanOrEqual" id="{50D8F965-96A5-4630-8BD7-DFB6C1087204}">
            <xm:f>Projekteinstellungen!$C$9</xm:f>
            <x14:dxf>
              <fill>
                <patternFill patternType="solid">
                  <fgColor auto="1"/>
                  <bgColor rgb="FFF55F5F"/>
                </patternFill>
              </fill>
            </x14:dxf>
          </x14:cfRule>
          <xm:sqref>W17</xm:sqref>
        </x14:conditionalFormatting>
        <x14:conditionalFormatting xmlns:xm="http://schemas.microsoft.com/office/excel/2006/main">
          <x14:cfRule type="cellIs" priority="551" operator="greaterThanOrEqual" id="{F25449F6-EAED-4187-8EEE-A2B6297475F6}">
            <xm:f>Projekteinstellungen!$C$9</xm:f>
            <x14:dxf>
              <fill>
                <patternFill patternType="solid">
                  <fgColor auto="1"/>
                  <bgColor rgb="FFF55F5F"/>
                </patternFill>
              </fill>
            </x14:dxf>
          </x14:cfRule>
          <xm:sqref>W107</xm:sqref>
        </x14:conditionalFormatting>
        <x14:conditionalFormatting xmlns:xm="http://schemas.microsoft.com/office/excel/2006/main">
          <x14:cfRule type="cellIs" priority="524" operator="greaterThanOrEqual" id="{ACA9617D-C7A8-43CA-95D3-6F66C48DF644}">
            <xm:f>Projekteinstellungen!$C$9</xm:f>
            <x14:dxf>
              <fill>
                <patternFill patternType="solid">
                  <fgColor auto="1"/>
                  <bgColor rgb="FFF55F5F"/>
                </patternFill>
              </fill>
            </x14:dxf>
          </x14:cfRule>
          <xm:sqref>W112</xm:sqref>
        </x14:conditionalFormatting>
        <x14:conditionalFormatting xmlns:xm="http://schemas.microsoft.com/office/excel/2006/main">
          <x14:cfRule type="cellIs" priority="497" operator="greaterThanOrEqual" id="{F68F88D1-E98F-4346-B936-0743B28FC157}">
            <xm:f>Projekteinstellungen!$C$9</xm:f>
            <x14:dxf>
              <fill>
                <patternFill patternType="solid">
                  <fgColor auto="1"/>
                  <bgColor rgb="FFF55F5F"/>
                </patternFill>
              </fill>
            </x14:dxf>
          </x14:cfRule>
          <xm:sqref>W117</xm:sqref>
        </x14:conditionalFormatting>
        <x14:conditionalFormatting xmlns:xm="http://schemas.microsoft.com/office/excel/2006/main">
          <x14:cfRule type="cellIs" priority="470" operator="greaterThanOrEqual" id="{3BBAF104-C084-4428-A83B-E61461098765}">
            <xm:f>Projekteinstellungen!$C$9</xm:f>
            <x14:dxf>
              <fill>
                <patternFill patternType="solid">
                  <fgColor auto="1"/>
                  <bgColor rgb="FFF55F5F"/>
                </patternFill>
              </fill>
            </x14:dxf>
          </x14:cfRule>
          <xm:sqref>W122</xm:sqref>
        </x14:conditionalFormatting>
        <x14:conditionalFormatting xmlns:xm="http://schemas.microsoft.com/office/excel/2006/main">
          <x14:cfRule type="cellIs" priority="443" operator="greaterThanOrEqual" id="{1F984281-6294-4583-8B0F-468A8BDFF22A}">
            <xm:f>Projekteinstellungen!$C$9</xm:f>
            <x14:dxf>
              <fill>
                <patternFill patternType="solid">
                  <fgColor auto="1"/>
                  <bgColor rgb="FFF55F5F"/>
                </patternFill>
              </fill>
            </x14:dxf>
          </x14:cfRule>
          <xm:sqref>W127</xm:sqref>
        </x14:conditionalFormatting>
        <x14:conditionalFormatting xmlns:xm="http://schemas.microsoft.com/office/excel/2006/main">
          <x14:cfRule type="cellIs" priority="416" operator="greaterThanOrEqual" id="{559283FC-03F0-4796-BC14-1F815EDAC4F3}">
            <xm:f>Projekteinstellungen!$C$9</xm:f>
            <x14:dxf>
              <fill>
                <patternFill patternType="solid">
                  <fgColor auto="1"/>
                  <bgColor rgb="FFF55F5F"/>
                </patternFill>
              </fill>
            </x14:dxf>
          </x14:cfRule>
          <xm:sqref>W132</xm:sqref>
        </x14:conditionalFormatting>
        <x14:conditionalFormatting xmlns:xm="http://schemas.microsoft.com/office/excel/2006/main">
          <x14:cfRule type="cellIs" priority="389" operator="greaterThanOrEqual" id="{40B5FE67-78D6-453C-9896-F20FF5D067D1}">
            <xm:f>Projekteinstellungen!$C$9</xm:f>
            <x14:dxf>
              <fill>
                <patternFill patternType="solid">
                  <fgColor auto="1"/>
                  <bgColor rgb="FFF55F5F"/>
                </patternFill>
              </fill>
            </x14:dxf>
          </x14:cfRule>
          <xm:sqref>W137</xm:sqref>
        </x14:conditionalFormatting>
        <x14:conditionalFormatting xmlns:xm="http://schemas.microsoft.com/office/excel/2006/main">
          <x14:cfRule type="cellIs" priority="362" operator="greaterThanOrEqual" id="{B867DB71-A5E5-4CB4-856B-ED24BB592CB9}">
            <xm:f>Projekteinstellungen!$C$9</xm:f>
            <x14:dxf>
              <fill>
                <patternFill patternType="solid">
                  <fgColor auto="1"/>
                  <bgColor rgb="FFF55F5F"/>
                </patternFill>
              </fill>
            </x14:dxf>
          </x14:cfRule>
          <xm:sqref>W142</xm:sqref>
        </x14:conditionalFormatting>
        <x14:conditionalFormatting xmlns:xm="http://schemas.microsoft.com/office/excel/2006/main">
          <x14:cfRule type="cellIs" priority="335" operator="greaterThanOrEqual" id="{2F14FE35-6622-4F21-B244-B3D31AA1C105}">
            <xm:f>Projekteinstellungen!$C$9</xm:f>
            <x14:dxf>
              <fill>
                <patternFill patternType="solid">
                  <fgColor auto="1"/>
                  <bgColor rgb="FFF55F5F"/>
                </patternFill>
              </fill>
            </x14:dxf>
          </x14:cfRule>
          <xm:sqref>W22</xm:sqref>
        </x14:conditionalFormatting>
        <x14:conditionalFormatting xmlns:xm="http://schemas.microsoft.com/office/excel/2006/main">
          <x14:cfRule type="cellIs" priority="308" operator="greaterThanOrEqual" id="{88CAE00C-2222-4379-8545-22A83F70D901}">
            <xm:f>Projekteinstellungen!$C$9</xm:f>
            <x14:dxf>
              <fill>
                <patternFill patternType="solid">
                  <fgColor auto="1"/>
                  <bgColor rgb="FFF55F5F"/>
                </patternFill>
              </fill>
            </x14:dxf>
          </x14:cfRule>
          <xm:sqref>W27</xm:sqref>
        </x14:conditionalFormatting>
        <x14:conditionalFormatting xmlns:xm="http://schemas.microsoft.com/office/excel/2006/main">
          <x14:cfRule type="cellIs" priority="281" operator="greaterThanOrEqual" id="{45312B5E-24C8-4F49-8FF8-29094E1FA85E}">
            <xm:f>Projekteinstellungen!$C$9</xm:f>
            <x14:dxf>
              <fill>
                <patternFill patternType="solid">
                  <fgColor auto="1"/>
                  <bgColor rgb="FFF55F5F"/>
                </patternFill>
              </fill>
            </x14:dxf>
          </x14:cfRule>
          <xm:sqref>W32</xm:sqref>
        </x14:conditionalFormatting>
        <x14:conditionalFormatting xmlns:xm="http://schemas.microsoft.com/office/excel/2006/main">
          <x14:cfRule type="cellIs" priority="254" operator="greaterThanOrEqual" id="{A354F134-D8E0-427E-ABF2-1BAD91FC4B0B}">
            <xm:f>Projekteinstellungen!$C$9</xm:f>
            <x14:dxf>
              <fill>
                <patternFill patternType="solid">
                  <fgColor auto="1"/>
                  <bgColor rgb="FFF55F5F"/>
                </patternFill>
              </fill>
            </x14:dxf>
          </x14:cfRule>
          <xm:sqref>W37</xm:sqref>
        </x14:conditionalFormatting>
        <x14:conditionalFormatting xmlns:xm="http://schemas.microsoft.com/office/excel/2006/main">
          <x14:cfRule type="cellIs" priority="227" operator="greaterThanOrEqual" id="{B4D85DAA-1BB6-44EA-8A13-248BF8F03880}">
            <xm:f>Projekteinstellungen!$C$9</xm:f>
            <x14:dxf>
              <fill>
                <patternFill patternType="solid">
                  <fgColor auto="1"/>
                  <bgColor rgb="FFF55F5F"/>
                </patternFill>
              </fill>
            </x14:dxf>
          </x14:cfRule>
          <xm:sqref>W42</xm:sqref>
        </x14:conditionalFormatting>
        <x14:conditionalFormatting xmlns:xm="http://schemas.microsoft.com/office/excel/2006/main">
          <x14:cfRule type="cellIs" priority="200" operator="greaterThanOrEqual" id="{8843B096-8CD1-4078-B7A6-FA34548D8AA1}">
            <xm:f>Projekteinstellungen!$C$9</xm:f>
            <x14:dxf>
              <fill>
                <patternFill patternType="solid">
                  <fgColor auto="1"/>
                  <bgColor rgb="FFF55F5F"/>
                </patternFill>
              </fill>
            </x14:dxf>
          </x14:cfRule>
          <xm:sqref>W47</xm:sqref>
        </x14:conditionalFormatting>
        <x14:conditionalFormatting xmlns:xm="http://schemas.microsoft.com/office/excel/2006/main">
          <x14:cfRule type="cellIs" priority="173" operator="greaterThanOrEqual" id="{FADDCF9F-AA76-49E5-9DD2-D2DE58140619}">
            <xm:f>Projekteinstellungen!$C$9</xm:f>
            <x14:dxf>
              <fill>
                <patternFill patternType="solid">
                  <fgColor auto="1"/>
                  <bgColor rgb="FFF55F5F"/>
                </patternFill>
              </fill>
            </x14:dxf>
          </x14:cfRule>
          <xm:sqref>W52</xm:sqref>
        </x14:conditionalFormatting>
        <x14:conditionalFormatting xmlns:xm="http://schemas.microsoft.com/office/excel/2006/main">
          <x14:cfRule type="cellIs" priority="147" operator="greaterThanOrEqual" id="{6DBB7160-C5BC-4167-8CD1-C86F9AE9376F}">
            <xm:f>Projekteinstellungen!$C$9</xm:f>
            <x14:dxf>
              <fill>
                <patternFill patternType="solid">
                  <fgColor auto="1"/>
                  <bgColor rgb="FFF55F5F"/>
                </patternFill>
              </fill>
            </x14:dxf>
          </x14:cfRule>
          <xm:sqref>W147</xm:sqref>
        </x14:conditionalFormatting>
        <x14:conditionalFormatting xmlns:xm="http://schemas.microsoft.com/office/excel/2006/main">
          <x14:cfRule type="cellIs" priority="119" operator="greaterThanOrEqual" id="{253F8F01-6500-48EA-9106-447B1D12CD7E}">
            <xm:f>Projekteinstellungen!$C$9</xm:f>
            <x14:dxf>
              <fill>
                <patternFill patternType="solid">
                  <fgColor auto="1"/>
                  <bgColor rgb="FFF55F5F"/>
                </patternFill>
              </fill>
            </x14:dxf>
          </x14:cfRule>
          <xm:sqref>W151</xm:sqref>
        </x14:conditionalFormatting>
        <x14:conditionalFormatting xmlns:xm="http://schemas.microsoft.com/office/excel/2006/main">
          <x14:cfRule type="cellIs" priority="101" operator="greaterThanOrEqual" id="{46022ECC-F1E7-417C-AF2C-CD44B5CA5CD7}">
            <xm:f>Projekteinstellungen!$C$9</xm:f>
            <x14:dxf>
              <fill>
                <patternFill patternType="solid">
                  <fgColor auto="1"/>
                  <bgColor rgb="FFF55F5F"/>
                </patternFill>
              </fill>
            </x14:dxf>
          </x14:cfRule>
          <xm:sqref>W156</xm:sqref>
        </x14:conditionalFormatting>
        <x14:conditionalFormatting xmlns:xm="http://schemas.microsoft.com/office/excel/2006/main">
          <x14:cfRule type="cellIs" priority="74" operator="greaterThanOrEqual" id="{8DE85C36-86F5-44DB-9BE7-3FD08E079144}">
            <xm:f>Projekteinstellungen!$C$9</xm:f>
            <x14:dxf>
              <fill>
                <patternFill patternType="solid">
                  <fgColor auto="1"/>
                  <bgColor rgb="FFF55F5F"/>
                </patternFill>
              </fill>
            </x14:dxf>
          </x14:cfRule>
          <xm:sqref>W161</xm:sqref>
        </x14:conditionalFormatting>
        <x14:conditionalFormatting xmlns:xm="http://schemas.microsoft.com/office/excel/2006/main">
          <x14:cfRule type="cellIs" priority="47" operator="greaterThanOrEqual" id="{5521257E-E9E6-4D7A-8B26-FC6FE9CF0C1F}">
            <xm:f>Projekteinstellungen!$C$9</xm:f>
            <x14:dxf>
              <fill>
                <patternFill patternType="solid">
                  <fgColor auto="1"/>
                  <bgColor rgb="FFF55F5F"/>
                </patternFill>
              </fill>
            </x14:dxf>
          </x14:cfRule>
          <xm:sqref>W166</xm:sqref>
        </x14:conditionalFormatting>
        <x14:conditionalFormatting xmlns:xm="http://schemas.microsoft.com/office/excel/2006/main">
          <x14:cfRule type="cellIs" priority="20" operator="greaterThanOrEqual" id="{3E7894B6-8A96-4957-9631-1B48E56ED342}">
            <xm:f>Projekteinstellungen!$C$9</xm:f>
            <x14:dxf>
              <fill>
                <patternFill patternType="solid">
                  <fgColor auto="1"/>
                  <bgColor rgb="FFF55F5F"/>
                </patternFill>
              </fill>
            </x14:dxf>
          </x14:cfRule>
          <xm:sqref>W171</xm:sqref>
        </x14:conditionalFormatting>
        <x14:conditionalFormatting xmlns:xm="http://schemas.microsoft.com/office/excel/2006/main">
          <x14:cfRule type="cellIs" priority="2681" stopIfTrue="1" operator="greaterThan" id="{6A586388-BD32-4E87-B585-03FFBA892FCF}">
            <xm:f>(1+Projekteinstellungen!$K$9)*$R$8</xm:f>
            <x14:dxf>
              <font>
                <color rgb="FF000000"/>
              </font>
              <fill>
                <patternFill>
                  <bgColor rgb="FFF55F5F"/>
                </patternFill>
              </fill>
            </x14:dxf>
          </x14:cfRule>
          <xm:sqref>R9</xm:sqref>
        </x14:conditionalFormatting>
        <x14:conditionalFormatting xmlns:xm="http://schemas.microsoft.com/office/excel/2006/main">
          <x14:cfRule type="cellIs" priority="2682" stopIfTrue="1" operator="lessThan" id="{994EAD48-B219-4E98-BDC1-C294BAD55151}">
            <xm:f>(1-Projekteinstellungen!$K$9)*$R$8</xm:f>
            <x14:dxf>
              <font>
                <color rgb="FF000000"/>
              </font>
              <fill>
                <patternFill>
                  <bgColor rgb="FFFFD966"/>
                </patternFill>
              </fill>
            </x14:dxf>
          </x14:cfRule>
          <xm:sqref>R9</xm:sqref>
        </x14:conditionalFormatting>
        <x14:conditionalFormatting xmlns:xm="http://schemas.microsoft.com/office/excel/2006/main">
          <x14:cfRule type="cellIs" priority="2683" stopIfTrue="1" operator="greaterThan" id="{70051983-36B6-4D04-835D-8B4B1576D338}">
            <xm:f>(1+Projekteinstellungen!$K$9)*$S$8</xm:f>
            <x14:dxf>
              <font>
                <color rgb="FF000000"/>
              </font>
              <fill>
                <patternFill>
                  <bgColor rgb="FFF55F5F"/>
                </patternFill>
              </fill>
            </x14:dxf>
          </x14:cfRule>
          <xm:sqref>S9</xm:sqref>
        </x14:conditionalFormatting>
        <x14:conditionalFormatting xmlns:xm="http://schemas.microsoft.com/office/excel/2006/main">
          <x14:cfRule type="cellIs" priority="2684" stopIfTrue="1" operator="greaterThan" id="{C734FD85-8E5D-4C38-ACAD-D87CA709CD94}">
            <xm:f>(1+Projekteinstellungen!$K$9)*$R$12</xm:f>
            <x14:dxf>
              <font>
                <color rgb="FF000000"/>
              </font>
              <fill>
                <patternFill>
                  <bgColor rgb="FFF55F5F"/>
                </patternFill>
              </fill>
            </x14:dxf>
          </x14:cfRule>
          <xm:sqref>R14</xm:sqref>
        </x14:conditionalFormatting>
        <x14:conditionalFormatting xmlns:xm="http://schemas.microsoft.com/office/excel/2006/main">
          <x14:cfRule type="cellIs" priority="2685" stopIfTrue="1" operator="lessThan" id="{E500560D-F3D2-414A-B371-7927AA5C6BA3}">
            <xm:f>(1-Projekteinstellungen!$K$9)*$R$12</xm:f>
            <x14:dxf>
              <font>
                <color rgb="FF000000"/>
              </font>
              <fill>
                <patternFill>
                  <bgColor rgb="FFFFD966"/>
                </patternFill>
              </fill>
            </x14:dxf>
          </x14:cfRule>
          <xm:sqref>R14</xm:sqref>
        </x14:conditionalFormatting>
        <x14:conditionalFormatting xmlns:xm="http://schemas.microsoft.com/office/excel/2006/main">
          <x14:cfRule type="cellIs" priority="2686" stopIfTrue="1" operator="greaterThan" id="{199CD07E-C6E4-483B-BE80-4BA848620A97}">
            <xm:f>(1+Projekteinstellungen!$K$9)*$S$12</xm:f>
            <x14:dxf>
              <font>
                <color rgb="FF000000"/>
              </font>
              <fill>
                <patternFill>
                  <bgColor rgb="FFF55F5F"/>
                </patternFill>
              </fill>
            </x14:dxf>
          </x14:cfRule>
          <xm:sqref>S14</xm:sqref>
        </x14:conditionalFormatting>
        <x14:conditionalFormatting xmlns:xm="http://schemas.microsoft.com/office/excel/2006/main">
          <x14:cfRule type="cellIs" priority="2687" stopIfTrue="1" operator="greaterThan" id="{90ED0019-9053-4B5C-AF15-940125D743D3}">
            <xm:f>(1+Projekteinstellungen!$K$9)*$R$17</xm:f>
            <x14:dxf>
              <font>
                <color rgb="FF000000"/>
              </font>
              <fill>
                <patternFill>
                  <bgColor rgb="FFF55F5F"/>
                </patternFill>
              </fill>
            </x14:dxf>
          </x14:cfRule>
          <xm:sqref>R19</xm:sqref>
        </x14:conditionalFormatting>
        <x14:conditionalFormatting xmlns:xm="http://schemas.microsoft.com/office/excel/2006/main">
          <x14:cfRule type="cellIs" priority="2688" stopIfTrue="1" operator="lessThan" id="{13950DF0-00CB-4961-96DD-01EA3CA668F1}">
            <xm:f>(1-Projekteinstellungen!$K$9)*$R$17</xm:f>
            <x14:dxf>
              <font>
                <color rgb="FF000000"/>
              </font>
              <fill>
                <patternFill>
                  <bgColor rgb="FFFFD966"/>
                </patternFill>
              </fill>
            </x14:dxf>
          </x14:cfRule>
          <xm:sqref>R19</xm:sqref>
        </x14:conditionalFormatting>
        <x14:conditionalFormatting xmlns:xm="http://schemas.microsoft.com/office/excel/2006/main">
          <x14:cfRule type="cellIs" priority="2689" stopIfTrue="1" operator="greaterThan" id="{8DCE0D49-FA9D-43A7-964B-3F24ADA83FA7}">
            <xm:f>(1+Projekteinstellungen!$K$9)*$S$17</xm:f>
            <x14:dxf>
              <font>
                <color rgb="FF000000"/>
              </font>
              <fill>
                <patternFill>
                  <bgColor rgb="FFF55F5F"/>
                </patternFill>
              </fill>
            </x14:dxf>
          </x14:cfRule>
          <xm:sqref>S19</xm:sqref>
        </x14:conditionalFormatting>
        <x14:conditionalFormatting xmlns:xm="http://schemas.microsoft.com/office/excel/2006/main">
          <x14:cfRule type="cellIs" priority="2690" stopIfTrue="1" operator="greaterThan" id="{1A7BFDBD-0470-4D57-BFB7-802C340439D6}">
            <xm:f>(1+Projekteinstellungen!$K$9)*$R$22</xm:f>
            <x14:dxf>
              <font>
                <color rgb="FF000000"/>
              </font>
              <fill>
                <patternFill>
                  <bgColor rgb="FFF55F5F"/>
                </patternFill>
              </fill>
            </x14:dxf>
          </x14:cfRule>
          <xm:sqref>R24</xm:sqref>
        </x14:conditionalFormatting>
        <x14:conditionalFormatting xmlns:xm="http://schemas.microsoft.com/office/excel/2006/main">
          <x14:cfRule type="cellIs" priority="2691" stopIfTrue="1" operator="lessThan" id="{1DAE2091-0E7D-4E25-AA00-BBD4EDAF1CAA}">
            <xm:f>(1-Projekteinstellungen!$K$9)*$R$22</xm:f>
            <x14:dxf>
              <font>
                <color rgb="FF000000"/>
              </font>
              <fill>
                <patternFill>
                  <bgColor rgb="FFFFD966"/>
                </patternFill>
              </fill>
            </x14:dxf>
          </x14:cfRule>
          <xm:sqref>R24</xm:sqref>
        </x14:conditionalFormatting>
        <x14:conditionalFormatting xmlns:xm="http://schemas.microsoft.com/office/excel/2006/main">
          <x14:cfRule type="cellIs" priority="2692" stopIfTrue="1" operator="greaterThan" id="{75E76C3E-25B2-4AA0-9C13-5F90110F9A51}">
            <xm:f>(1+Projekteinstellungen!$K$9)*$S$22</xm:f>
            <x14:dxf>
              <font>
                <color rgb="FF000000"/>
              </font>
              <fill>
                <patternFill>
                  <bgColor rgb="FFF55F5F"/>
                </patternFill>
              </fill>
            </x14:dxf>
          </x14:cfRule>
          <xm:sqref>S24</xm:sqref>
        </x14:conditionalFormatting>
        <x14:conditionalFormatting xmlns:xm="http://schemas.microsoft.com/office/excel/2006/main">
          <x14:cfRule type="cellIs" priority="2693" stopIfTrue="1" operator="greaterThan" id="{6F40D883-5DB2-4B6D-B96B-17C635678749}">
            <xm:f>(1+Projekteinstellungen!$K$9)*$R$27</xm:f>
            <x14:dxf>
              <font>
                <color rgb="FF000000"/>
              </font>
              <fill>
                <patternFill>
                  <bgColor rgb="FFF55F5F"/>
                </patternFill>
              </fill>
            </x14:dxf>
          </x14:cfRule>
          <xm:sqref>R29</xm:sqref>
        </x14:conditionalFormatting>
        <x14:conditionalFormatting xmlns:xm="http://schemas.microsoft.com/office/excel/2006/main">
          <x14:cfRule type="cellIs" priority="2694" stopIfTrue="1" operator="lessThan" id="{8ACBF412-E5D7-4907-B356-6991420E872F}">
            <xm:f>(1-Projekteinstellungen!$K$9)*$R$27</xm:f>
            <x14:dxf>
              <font>
                <color rgb="FF000000"/>
              </font>
              <fill>
                <patternFill>
                  <bgColor rgb="FFFFD966"/>
                </patternFill>
              </fill>
            </x14:dxf>
          </x14:cfRule>
          <xm:sqref>R29</xm:sqref>
        </x14:conditionalFormatting>
        <x14:conditionalFormatting xmlns:xm="http://schemas.microsoft.com/office/excel/2006/main">
          <x14:cfRule type="cellIs" priority="2695" stopIfTrue="1" operator="greaterThan" id="{20BEECEC-652C-4A1C-989A-A1E1930A63A1}">
            <xm:f>(1+Projekteinstellungen!$K$9)*$S$27</xm:f>
            <x14:dxf>
              <font>
                <color rgb="FF000000"/>
              </font>
              <fill>
                <patternFill>
                  <bgColor rgb="FFF55F5F"/>
                </patternFill>
              </fill>
            </x14:dxf>
          </x14:cfRule>
          <xm:sqref>S29</xm:sqref>
        </x14:conditionalFormatting>
        <x14:conditionalFormatting xmlns:xm="http://schemas.microsoft.com/office/excel/2006/main">
          <x14:cfRule type="cellIs" priority="2696" stopIfTrue="1" operator="greaterThan" id="{F9E89F6F-415B-45C1-A9E2-B200752D297B}">
            <xm:f>(1+Projekteinstellungen!$K$9)*$R$32</xm:f>
            <x14:dxf>
              <font>
                <color rgb="FF000000"/>
              </font>
              <fill>
                <patternFill>
                  <bgColor rgb="FFF55F5F"/>
                </patternFill>
              </fill>
            </x14:dxf>
          </x14:cfRule>
          <xm:sqref>R34</xm:sqref>
        </x14:conditionalFormatting>
        <x14:conditionalFormatting xmlns:xm="http://schemas.microsoft.com/office/excel/2006/main">
          <x14:cfRule type="cellIs" priority="2697" stopIfTrue="1" operator="lessThan" id="{186B347D-177B-4B51-A6A5-9243CA25315B}">
            <xm:f>(1-Projekteinstellungen!$K$9)*$R$32</xm:f>
            <x14:dxf>
              <font>
                <color rgb="FF000000"/>
              </font>
              <fill>
                <patternFill>
                  <bgColor rgb="FFFFD966"/>
                </patternFill>
              </fill>
            </x14:dxf>
          </x14:cfRule>
          <xm:sqref>R34</xm:sqref>
        </x14:conditionalFormatting>
        <x14:conditionalFormatting xmlns:xm="http://schemas.microsoft.com/office/excel/2006/main">
          <x14:cfRule type="cellIs" priority="2698" stopIfTrue="1" operator="greaterThan" id="{CAF4EB14-F209-4734-B0DD-130509DF66B2}">
            <xm:f>(1+Projekteinstellungen!$K$9)*$S$32</xm:f>
            <x14:dxf>
              <font>
                <color rgb="FF000000"/>
              </font>
              <fill>
                <patternFill>
                  <bgColor rgb="FFF55F5F"/>
                </patternFill>
              </fill>
            </x14:dxf>
          </x14:cfRule>
          <xm:sqref>S34</xm:sqref>
        </x14:conditionalFormatting>
        <x14:conditionalFormatting xmlns:xm="http://schemas.microsoft.com/office/excel/2006/main">
          <x14:cfRule type="cellIs" priority="2699" stopIfTrue="1" operator="greaterThan" id="{B5B2BBFA-D9DA-449F-BE48-A637A760EF4D}">
            <xm:f>(1+Projekteinstellungen!$K$9)*$R$37</xm:f>
            <x14:dxf>
              <font>
                <color rgb="FF000000"/>
              </font>
              <fill>
                <patternFill>
                  <bgColor rgb="FFF55F5F"/>
                </patternFill>
              </fill>
            </x14:dxf>
          </x14:cfRule>
          <xm:sqref>R39</xm:sqref>
        </x14:conditionalFormatting>
        <x14:conditionalFormatting xmlns:xm="http://schemas.microsoft.com/office/excel/2006/main">
          <x14:cfRule type="cellIs" priority="2700" stopIfTrue="1" operator="lessThan" id="{A6C5003C-D712-451F-B3E4-BCB963EB48AE}">
            <xm:f>(1-Projekteinstellungen!$K$9)*$R$37</xm:f>
            <x14:dxf>
              <font>
                <color rgb="FF000000"/>
              </font>
              <fill>
                <patternFill>
                  <bgColor rgb="FFFFD966"/>
                </patternFill>
              </fill>
            </x14:dxf>
          </x14:cfRule>
          <xm:sqref>R39</xm:sqref>
        </x14:conditionalFormatting>
        <x14:conditionalFormatting xmlns:xm="http://schemas.microsoft.com/office/excel/2006/main">
          <x14:cfRule type="cellIs" priority="2701" stopIfTrue="1" operator="greaterThan" id="{4D1E3E60-BF9C-4941-9319-D9A51FE76251}">
            <xm:f>(1+Projekteinstellungen!$K$9)*$S$37</xm:f>
            <x14:dxf>
              <font>
                <color rgb="FF000000"/>
              </font>
              <fill>
                <patternFill>
                  <bgColor rgb="FFF55F5F"/>
                </patternFill>
              </fill>
            </x14:dxf>
          </x14:cfRule>
          <xm:sqref>S39</xm:sqref>
        </x14:conditionalFormatting>
        <x14:conditionalFormatting xmlns:xm="http://schemas.microsoft.com/office/excel/2006/main">
          <x14:cfRule type="cellIs" priority="2702" stopIfTrue="1" operator="greaterThan" id="{94F7148D-5211-47B4-B42E-A9FC6B27836C}">
            <xm:f>(1+Projekteinstellungen!$K$9)*$R$42</xm:f>
            <x14:dxf>
              <font>
                <color rgb="FF000000"/>
              </font>
              <fill>
                <patternFill>
                  <bgColor rgb="FFF55F5F"/>
                </patternFill>
              </fill>
            </x14:dxf>
          </x14:cfRule>
          <xm:sqref>R44</xm:sqref>
        </x14:conditionalFormatting>
        <x14:conditionalFormatting xmlns:xm="http://schemas.microsoft.com/office/excel/2006/main">
          <x14:cfRule type="cellIs" priority="2703" stopIfTrue="1" operator="lessThan" id="{B326D927-1279-4EC6-83DD-9A835255ABC5}">
            <xm:f>(1-Projekteinstellungen!$K$9)*$R$42</xm:f>
            <x14:dxf>
              <font>
                <color rgb="FF000000"/>
              </font>
              <fill>
                <patternFill>
                  <bgColor rgb="FFFFD966"/>
                </patternFill>
              </fill>
            </x14:dxf>
          </x14:cfRule>
          <xm:sqref>R44</xm:sqref>
        </x14:conditionalFormatting>
        <x14:conditionalFormatting xmlns:xm="http://schemas.microsoft.com/office/excel/2006/main">
          <x14:cfRule type="cellIs" priority="2704" stopIfTrue="1" operator="greaterThan" id="{60456F1B-A8BA-4F79-BFAF-F5CC4671F9AD}">
            <xm:f>(1+Projekteinstellungen!$K$9)*$S$42</xm:f>
            <x14:dxf>
              <font>
                <color rgb="FF000000"/>
              </font>
              <fill>
                <patternFill>
                  <bgColor rgb="FFF55F5F"/>
                </patternFill>
              </fill>
            </x14:dxf>
          </x14:cfRule>
          <xm:sqref>S44</xm:sqref>
        </x14:conditionalFormatting>
        <x14:conditionalFormatting xmlns:xm="http://schemas.microsoft.com/office/excel/2006/main">
          <x14:cfRule type="cellIs" priority="2705" stopIfTrue="1" operator="greaterThan" id="{1A6AF333-1776-4CC8-B74A-112247954D69}">
            <xm:f>(1+Projekteinstellungen!$K$9)*$R$47</xm:f>
            <x14:dxf>
              <font>
                <color rgb="FF000000"/>
              </font>
              <fill>
                <patternFill>
                  <bgColor rgb="FFF55F5F"/>
                </patternFill>
              </fill>
            </x14:dxf>
          </x14:cfRule>
          <xm:sqref>R49</xm:sqref>
        </x14:conditionalFormatting>
        <x14:conditionalFormatting xmlns:xm="http://schemas.microsoft.com/office/excel/2006/main">
          <x14:cfRule type="cellIs" priority="2706" stopIfTrue="1" operator="lessThan" id="{F67B86FE-30E9-4B59-86BE-14F173CB94F8}">
            <xm:f>(1-Projekteinstellungen!$K$9)*$R$47</xm:f>
            <x14:dxf>
              <font>
                <color rgb="FF000000"/>
              </font>
              <fill>
                <patternFill>
                  <bgColor rgb="FFFFD966"/>
                </patternFill>
              </fill>
            </x14:dxf>
          </x14:cfRule>
          <xm:sqref>R49</xm:sqref>
        </x14:conditionalFormatting>
        <x14:conditionalFormatting xmlns:xm="http://schemas.microsoft.com/office/excel/2006/main">
          <x14:cfRule type="cellIs" priority="2707" stopIfTrue="1" operator="greaterThan" id="{D96B151D-4457-4369-98AA-BF6FAFA0D9A9}">
            <xm:f>(1+Projekteinstellungen!$K$9)*$S$47</xm:f>
            <x14:dxf>
              <font>
                <color rgb="FF000000"/>
              </font>
              <fill>
                <patternFill>
                  <bgColor rgb="FFF55F5F"/>
                </patternFill>
              </fill>
            </x14:dxf>
          </x14:cfRule>
          <xm:sqref>S49</xm:sqref>
        </x14:conditionalFormatting>
        <x14:conditionalFormatting xmlns:xm="http://schemas.microsoft.com/office/excel/2006/main">
          <x14:cfRule type="cellIs" priority="2708" stopIfTrue="1" operator="greaterThan" id="{0F986161-16AC-42B4-9A70-772984B7FC06}">
            <xm:f>(1+Projekteinstellungen!$K$9)*$R$52</xm:f>
            <x14:dxf>
              <font>
                <color rgb="FF000000"/>
              </font>
              <fill>
                <patternFill>
                  <bgColor rgb="FFF55F5F"/>
                </patternFill>
              </fill>
            </x14:dxf>
          </x14:cfRule>
          <xm:sqref>R54</xm:sqref>
        </x14:conditionalFormatting>
        <x14:conditionalFormatting xmlns:xm="http://schemas.microsoft.com/office/excel/2006/main">
          <x14:cfRule type="cellIs" priority="2709" stopIfTrue="1" operator="lessThan" id="{202E93FA-B23D-432B-B090-BD081CCDDFD8}">
            <xm:f>(1-Projekteinstellungen!$K$9)*$R$52</xm:f>
            <x14:dxf>
              <font>
                <color rgb="FF000000"/>
              </font>
              <fill>
                <patternFill>
                  <bgColor rgb="FFFFD966"/>
                </patternFill>
              </fill>
            </x14:dxf>
          </x14:cfRule>
          <xm:sqref>R54</xm:sqref>
        </x14:conditionalFormatting>
        <x14:conditionalFormatting xmlns:xm="http://schemas.microsoft.com/office/excel/2006/main">
          <x14:cfRule type="cellIs" priority="2710" stopIfTrue="1" operator="greaterThan" id="{35BCB1FB-A8C3-4F9D-A630-12F17CA13116}">
            <xm:f>(1+Projekteinstellungen!$K$9)*$S$52</xm:f>
            <x14:dxf>
              <font>
                <color rgb="FF000000"/>
              </font>
              <fill>
                <patternFill>
                  <bgColor rgb="FFF55F5F"/>
                </patternFill>
              </fill>
            </x14:dxf>
          </x14:cfRule>
          <xm:sqref>S54</xm:sqref>
        </x14:conditionalFormatting>
        <x14:conditionalFormatting xmlns:xm="http://schemas.microsoft.com/office/excel/2006/main">
          <x14:cfRule type="cellIs" priority="2711" stopIfTrue="1" operator="greaterThan" id="{D5CD8505-7A74-4EAD-9EEF-D3E5106FC536}">
            <xm:f>(1+Projekteinstellungen!$K$9)*$R$57</xm:f>
            <x14:dxf>
              <font>
                <color rgb="FF000000"/>
              </font>
              <fill>
                <patternFill>
                  <bgColor rgb="FFF55F5F"/>
                </patternFill>
              </fill>
            </x14:dxf>
          </x14:cfRule>
          <xm:sqref>R59</xm:sqref>
        </x14:conditionalFormatting>
        <x14:conditionalFormatting xmlns:xm="http://schemas.microsoft.com/office/excel/2006/main">
          <x14:cfRule type="cellIs" priority="2712" stopIfTrue="1" operator="lessThan" id="{07A10311-5197-448B-B228-BCB06A637928}">
            <xm:f>(1-Projekteinstellungen!$K$9)*$R$57</xm:f>
            <x14:dxf>
              <font>
                <color rgb="FF000000"/>
              </font>
              <fill>
                <patternFill>
                  <bgColor rgb="FFFFD966"/>
                </patternFill>
              </fill>
            </x14:dxf>
          </x14:cfRule>
          <xm:sqref>R59</xm:sqref>
        </x14:conditionalFormatting>
        <x14:conditionalFormatting xmlns:xm="http://schemas.microsoft.com/office/excel/2006/main">
          <x14:cfRule type="cellIs" priority="2713" stopIfTrue="1" operator="greaterThan" id="{B52D5616-388A-46F0-87E8-5E8ADE602826}">
            <xm:f>(1+Projekteinstellungen!$K$9)*$S$57</xm:f>
            <x14:dxf>
              <font>
                <color rgb="FF000000"/>
              </font>
              <fill>
                <patternFill>
                  <bgColor rgb="FFF55F5F"/>
                </patternFill>
              </fill>
            </x14:dxf>
          </x14:cfRule>
          <xm:sqref>S59</xm:sqref>
        </x14:conditionalFormatting>
        <x14:conditionalFormatting xmlns:xm="http://schemas.microsoft.com/office/excel/2006/main">
          <x14:cfRule type="cellIs" priority="2714" stopIfTrue="1" operator="greaterThan" id="{FF988131-B20F-47AB-B547-8EEDB50DF52F}">
            <xm:f>(1+Projekteinstellungen!$K$9)*$R$62</xm:f>
            <x14:dxf>
              <font>
                <color rgb="FF000000"/>
              </font>
              <fill>
                <patternFill>
                  <bgColor rgb="FFF55F5F"/>
                </patternFill>
              </fill>
            </x14:dxf>
          </x14:cfRule>
          <xm:sqref>R64</xm:sqref>
        </x14:conditionalFormatting>
        <x14:conditionalFormatting xmlns:xm="http://schemas.microsoft.com/office/excel/2006/main">
          <x14:cfRule type="cellIs" priority="2715" stopIfTrue="1" operator="lessThan" id="{6D8ABD61-3AC9-4981-BC58-C3A11C63DF41}">
            <xm:f>(1-Projekteinstellungen!$K$9)*$R$62</xm:f>
            <x14:dxf>
              <font>
                <color rgb="FF000000"/>
              </font>
              <fill>
                <patternFill>
                  <bgColor rgb="FFFFD966"/>
                </patternFill>
              </fill>
            </x14:dxf>
          </x14:cfRule>
          <xm:sqref>R64</xm:sqref>
        </x14:conditionalFormatting>
        <x14:conditionalFormatting xmlns:xm="http://schemas.microsoft.com/office/excel/2006/main">
          <x14:cfRule type="cellIs" priority="2716" stopIfTrue="1" operator="greaterThan" id="{C3465501-9812-40D0-9589-7257F037E721}">
            <xm:f>(1+Projekteinstellungen!$K$9)*$S$62</xm:f>
            <x14:dxf>
              <font>
                <color rgb="FF000000"/>
              </font>
              <fill>
                <patternFill>
                  <bgColor rgb="FFF55F5F"/>
                </patternFill>
              </fill>
            </x14:dxf>
          </x14:cfRule>
          <xm:sqref>S64</xm:sqref>
        </x14:conditionalFormatting>
        <x14:conditionalFormatting xmlns:xm="http://schemas.microsoft.com/office/excel/2006/main">
          <x14:cfRule type="cellIs" priority="2717" stopIfTrue="1" operator="greaterThan" id="{2C9FF595-876B-439F-A14B-B9CC89C1CD16}">
            <xm:f>(1+Projekteinstellungen!$K$9)*$R$67</xm:f>
            <x14:dxf>
              <font>
                <color rgb="FF000000"/>
              </font>
              <fill>
                <patternFill>
                  <bgColor rgb="FFF55F5F"/>
                </patternFill>
              </fill>
            </x14:dxf>
          </x14:cfRule>
          <xm:sqref>R69</xm:sqref>
        </x14:conditionalFormatting>
        <x14:conditionalFormatting xmlns:xm="http://schemas.microsoft.com/office/excel/2006/main">
          <x14:cfRule type="cellIs" priority="2718" stopIfTrue="1" operator="lessThan" id="{A0EA7967-61FF-463A-9BFF-D8898023CB67}">
            <xm:f>(1-Projekteinstellungen!$K$9)*$R$67</xm:f>
            <x14:dxf>
              <font>
                <color rgb="FF000000"/>
              </font>
              <fill>
                <patternFill>
                  <bgColor rgb="FFFFD966"/>
                </patternFill>
              </fill>
            </x14:dxf>
          </x14:cfRule>
          <xm:sqref>R69</xm:sqref>
        </x14:conditionalFormatting>
        <x14:conditionalFormatting xmlns:xm="http://schemas.microsoft.com/office/excel/2006/main">
          <x14:cfRule type="cellIs" priority="2719" stopIfTrue="1" operator="greaterThan" id="{63612DA3-66A6-454A-BFF2-67F4B1EAE4F7}">
            <xm:f>(1+Projekteinstellungen!$K$9)*$S$67</xm:f>
            <x14:dxf>
              <font>
                <color rgb="FF000000"/>
              </font>
              <fill>
                <patternFill>
                  <bgColor rgb="FFF55F5F"/>
                </patternFill>
              </fill>
            </x14:dxf>
          </x14:cfRule>
          <xm:sqref>S69</xm:sqref>
        </x14:conditionalFormatting>
        <x14:conditionalFormatting xmlns:xm="http://schemas.microsoft.com/office/excel/2006/main">
          <x14:cfRule type="cellIs" priority="2720" stopIfTrue="1" operator="greaterThan" id="{48E6078C-4DCD-4F8C-83A0-B682E7C86872}">
            <xm:f>(1+Projekteinstellungen!$K$9)*$R$72</xm:f>
            <x14:dxf>
              <font>
                <color rgb="FF000000"/>
              </font>
              <fill>
                <patternFill>
                  <bgColor rgb="FFF55F5F"/>
                </patternFill>
              </fill>
            </x14:dxf>
          </x14:cfRule>
          <xm:sqref>R74</xm:sqref>
        </x14:conditionalFormatting>
        <x14:conditionalFormatting xmlns:xm="http://schemas.microsoft.com/office/excel/2006/main">
          <x14:cfRule type="cellIs" priority="2721" stopIfTrue="1" operator="lessThan" id="{05C06E8C-62F2-42FD-989B-A66E4568BEAE}">
            <xm:f>(1-Projekteinstellungen!$K$9)*$R$72</xm:f>
            <x14:dxf>
              <font>
                <color rgb="FF000000"/>
              </font>
              <fill>
                <patternFill>
                  <bgColor rgb="FFFFD966"/>
                </patternFill>
              </fill>
            </x14:dxf>
          </x14:cfRule>
          <xm:sqref>R74</xm:sqref>
        </x14:conditionalFormatting>
        <x14:conditionalFormatting xmlns:xm="http://schemas.microsoft.com/office/excel/2006/main">
          <x14:cfRule type="cellIs" priority="2722" stopIfTrue="1" operator="greaterThan" id="{0380F604-0486-4B23-8781-E92939858A35}">
            <xm:f>(1+Projekteinstellungen!$K$9)*$S$72</xm:f>
            <x14:dxf>
              <font>
                <color rgb="FF000000"/>
              </font>
              <fill>
                <patternFill>
                  <bgColor rgb="FFF55F5F"/>
                </patternFill>
              </fill>
            </x14:dxf>
          </x14:cfRule>
          <xm:sqref>S74</xm:sqref>
        </x14:conditionalFormatting>
        <x14:conditionalFormatting xmlns:xm="http://schemas.microsoft.com/office/excel/2006/main">
          <x14:cfRule type="cellIs" priority="2723" stopIfTrue="1" operator="greaterThan" id="{78593790-3BF1-4623-B928-5CA759243601}">
            <xm:f>(1+Projekteinstellungen!$K$9)*$R$77</xm:f>
            <x14:dxf>
              <font>
                <color rgb="FF000000"/>
              </font>
              <fill>
                <patternFill>
                  <bgColor rgb="FFF55F5F"/>
                </patternFill>
              </fill>
            </x14:dxf>
          </x14:cfRule>
          <xm:sqref>R79</xm:sqref>
        </x14:conditionalFormatting>
        <x14:conditionalFormatting xmlns:xm="http://schemas.microsoft.com/office/excel/2006/main">
          <x14:cfRule type="cellIs" priority="2724" stopIfTrue="1" operator="lessThan" id="{FD6501C0-0A33-463F-87EB-25710A7E0686}">
            <xm:f>(1-Projekteinstellungen!$K$9)*$R$77</xm:f>
            <x14:dxf>
              <font>
                <color rgb="FF000000"/>
              </font>
              <fill>
                <patternFill>
                  <bgColor rgb="FFFFD966"/>
                </patternFill>
              </fill>
            </x14:dxf>
          </x14:cfRule>
          <xm:sqref>R79</xm:sqref>
        </x14:conditionalFormatting>
        <x14:conditionalFormatting xmlns:xm="http://schemas.microsoft.com/office/excel/2006/main">
          <x14:cfRule type="cellIs" priority="2725" stopIfTrue="1" operator="greaterThan" id="{E30367D9-C1B3-4C27-822E-4CF61ABBE917}">
            <xm:f>(1+Projekteinstellungen!$K$9)*$S$77</xm:f>
            <x14:dxf>
              <font>
                <color rgb="FF000000"/>
              </font>
              <fill>
                <patternFill>
                  <bgColor rgb="FFF55F5F"/>
                </patternFill>
              </fill>
            </x14:dxf>
          </x14:cfRule>
          <xm:sqref>S79</xm:sqref>
        </x14:conditionalFormatting>
        <x14:conditionalFormatting xmlns:xm="http://schemas.microsoft.com/office/excel/2006/main">
          <x14:cfRule type="cellIs" priority="2726" stopIfTrue="1" operator="greaterThan" id="{A11D7676-8758-44CB-BBDB-D1290CF9902F}">
            <xm:f>(1+Projekteinstellungen!$K$9)*$R$82</xm:f>
            <x14:dxf>
              <font>
                <color rgb="FF000000"/>
              </font>
              <fill>
                <patternFill>
                  <bgColor rgb="FFF55F5F"/>
                </patternFill>
              </fill>
            </x14:dxf>
          </x14:cfRule>
          <xm:sqref>R84</xm:sqref>
        </x14:conditionalFormatting>
        <x14:conditionalFormatting xmlns:xm="http://schemas.microsoft.com/office/excel/2006/main">
          <x14:cfRule type="cellIs" priority="2727" stopIfTrue="1" operator="lessThan" id="{2D71B805-49CF-4A4E-9A9A-D5F1A36A0D93}">
            <xm:f>(1-Projekteinstellungen!$K$9)*$R$82</xm:f>
            <x14:dxf>
              <font>
                <color rgb="FF000000"/>
              </font>
              <fill>
                <patternFill>
                  <bgColor rgb="FFFFD966"/>
                </patternFill>
              </fill>
            </x14:dxf>
          </x14:cfRule>
          <xm:sqref>R84</xm:sqref>
        </x14:conditionalFormatting>
        <x14:conditionalFormatting xmlns:xm="http://schemas.microsoft.com/office/excel/2006/main">
          <x14:cfRule type="cellIs" priority="2728" stopIfTrue="1" operator="greaterThan" id="{D2C01079-DC32-4F43-BD13-D549D1B950FD}">
            <xm:f>(1+Projekteinstellungen!$K$9)*$S$82</xm:f>
            <x14:dxf>
              <font>
                <color rgb="FF000000"/>
              </font>
              <fill>
                <patternFill>
                  <bgColor rgb="FFF55F5F"/>
                </patternFill>
              </fill>
            </x14:dxf>
          </x14:cfRule>
          <xm:sqref>S84</xm:sqref>
        </x14:conditionalFormatting>
        <x14:conditionalFormatting xmlns:xm="http://schemas.microsoft.com/office/excel/2006/main">
          <x14:cfRule type="cellIs" priority="2729" stopIfTrue="1" operator="greaterThan" id="{0BE6B62B-B00B-44A7-8AD0-A388198D773D}">
            <xm:f>(1+Projekteinstellungen!$K$9)*$R$87</xm:f>
            <x14:dxf>
              <font>
                <color rgb="FF000000"/>
              </font>
              <fill>
                <patternFill>
                  <bgColor rgb="FFF55F5F"/>
                </patternFill>
              </fill>
            </x14:dxf>
          </x14:cfRule>
          <xm:sqref>R89</xm:sqref>
        </x14:conditionalFormatting>
        <x14:conditionalFormatting xmlns:xm="http://schemas.microsoft.com/office/excel/2006/main">
          <x14:cfRule type="cellIs" priority="2730" stopIfTrue="1" operator="lessThan" id="{4629AA4D-A5AB-462B-B15C-EDDF88BDA6AB}">
            <xm:f>(1-Projekteinstellungen!$K$9)*$R$87</xm:f>
            <x14:dxf>
              <font>
                <color rgb="FF000000"/>
              </font>
              <fill>
                <patternFill>
                  <bgColor rgb="FFFFD966"/>
                </patternFill>
              </fill>
            </x14:dxf>
          </x14:cfRule>
          <xm:sqref>R89</xm:sqref>
        </x14:conditionalFormatting>
        <x14:conditionalFormatting xmlns:xm="http://schemas.microsoft.com/office/excel/2006/main">
          <x14:cfRule type="cellIs" priority="2731" stopIfTrue="1" operator="greaterThan" id="{0D2D7445-B3BB-4422-AC95-60EE87743DB9}">
            <xm:f>(1+Projekteinstellungen!$K$9)*$S$87</xm:f>
            <x14:dxf>
              <font>
                <color rgb="FF000000"/>
              </font>
              <fill>
                <patternFill>
                  <bgColor rgb="FFF55F5F"/>
                </patternFill>
              </fill>
            </x14:dxf>
          </x14:cfRule>
          <xm:sqref>S89</xm:sqref>
        </x14:conditionalFormatting>
        <x14:conditionalFormatting xmlns:xm="http://schemas.microsoft.com/office/excel/2006/main">
          <x14:cfRule type="cellIs" priority="2732" stopIfTrue="1" operator="greaterThan" id="{ADC1CA8D-7708-4677-8BC2-C8B7F964C425}">
            <xm:f>(1+Projekteinstellungen!$K$9)*$R$92</xm:f>
            <x14:dxf>
              <font>
                <color rgb="FF000000"/>
              </font>
              <fill>
                <patternFill>
                  <bgColor rgb="FFF55F5F"/>
                </patternFill>
              </fill>
            </x14:dxf>
          </x14:cfRule>
          <xm:sqref>R94</xm:sqref>
        </x14:conditionalFormatting>
        <x14:conditionalFormatting xmlns:xm="http://schemas.microsoft.com/office/excel/2006/main">
          <x14:cfRule type="cellIs" priority="2733" stopIfTrue="1" operator="lessThan" id="{753E1153-8CBC-4000-91F5-0F49FFDED630}">
            <xm:f>(1-Projekteinstellungen!$K$9)*$R$92</xm:f>
            <x14:dxf>
              <font>
                <color rgb="FF000000"/>
              </font>
              <fill>
                <patternFill>
                  <bgColor rgb="FFFFD966"/>
                </patternFill>
              </fill>
            </x14:dxf>
          </x14:cfRule>
          <xm:sqref>R94</xm:sqref>
        </x14:conditionalFormatting>
        <x14:conditionalFormatting xmlns:xm="http://schemas.microsoft.com/office/excel/2006/main">
          <x14:cfRule type="cellIs" priority="2734" stopIfTrue="1" operator="greaterThan" id="{64985259-3B0A-49DF-BA91-3689C04F438C}">
            <xm:f>(1+Projekteinstellungen!$K$9)*$S$92</xm:f>
            <x14:dxf>
              <font>
                <color rgb="FF000000"/>
              </font>
              <fill>
                <patternFill>
                  <bgColor rgb="FFF55F5F"/>
                </patternFill>
              </fill>
            </x14:dxf>
          </x14:cfRule>
          <xm:sqref>S94</xm:sqref>
        </x14:conditionalFormatting>
        <x14:conditionalFormatting xmlns:xm="http://schemas.microsoft.com/office/excel/2006/main">
          <x14:cfRule type="cellIs" priority="2735" stopIfTrue="1" operator="greaterThan" id="{0EA7C7DA-7497-490D-AD6E-AC730D095EFB}">
            <xm:f>(1+Projekteinstellungen!$K$9)*$R$97</xm:f>
            <x14:dxf>
              <font>
                <color rgb="FF000000"/>
              </font>
              <fill>
                <patternFill>
                  <bgColor rgb="FFF55F5F"/>
                </patternFill>
              </fill>
            </x14:dxf>
          </x14:cfRule>
          <xm:sqref>R99</xm:sqref>
        </x14:conditionalFormatting>
        <x14:conditionalFormatting xmlns:xm="http://schemas.microsoft.com/office/excel/2006/main">
          <x14:cfRule type="cellIs" priority="2736" stopIfTrue="1" operator="lessThan" id="{FB06BFEB-C15A-471A-898E-A9754AA2AE37}">
            <xm:f>(1-Projekteinstellungen!$K$9)*$R$97</xm:f>
            <x14:dxf>
              <font>
                <color rgb="FF000000"/>
              </font>
              <fill>
                <patternFill>
                  <bgColor rgb="FFFFD966"/>
                </patternFill>
              </fill>
            </x14:dxf>
          </x14:cfRule>
          <xm:sqref>R99</xm:sqref>
        </x14:conditionalFormatting>
        <x14:conditionalFormatting xmlns:xm="http://schemas.microsoft.com/office/excel/2006/main">
          <x14:cfRule type="cellIs" priority="2737" stopIfTrue="1" operator="greaterThan" id="{13D94B84-B5FD-464D-8A02-129B2F552FAA}">
            <xm:f>(1+Projekteinstellungen!$K$9)*$S$97</xm:f>
            <x14:dxf>
              <font>
                <color rgb="FF000000"/>
              </font>
              <fill>
                <patternFill>
                  <bgColor rgb="FFF55F5F"/>
                </patternFill>
              </fill>
            </x14:dxf>
          </x14:cfRule>
          <xm:sqref>S99</xm:sqref>
        </x14:conditionalFormatting>
        <x14:conditionalFormatting xmlns:xm="http://schemas.microsoft.com/office/excel/2006/main">
          <x14:cfRule type="cellIs" priority="2738" stopIfTrue="1" operator="greaterThan" id="{26BADA0A-9A53-4955-AE82-B25176449648}">
            <xm:f>(1+Projekteinstellungen!$K$9)*$R$102</xm:f>
            <x14:dxf>
              <font>
                <color rgb="FF000000"/>
              </font>
              <fill>
                <patternFill>
                  <bgColor rgb="FFF55F5F"/>
                </patternFill>
              </fill>
            </x14:dxf>
          </x14:cfRule>
          <xm:sqref>R104</xm:sqref>
        </x14:conditionalFormatting>
        <x14:conditionalFormatting xmlns:xm="http://schemas.microsoft.com/office/excel/2006/main">
          <x14:cfRule type="cellIs" priority="2739" stopIfTrue="1" operator="lessThan" id="{D1DED183-DFDE-4D73-BB1F-151F2EA51751}">
            <xm:f>(1-Projekteinstellungen!$K$9)*$R$102</xm:f>
            <x14:dxf>
              <font>
                <color rgb="FF000000"/>
              </font>
              <fill>
                <patternFill>
                  <bgColor rgb="FFFFD966"/>
                </patternFill>
              </fill>
            </x14:dxf>
          </x14:cfRule>
          <xm:sqref>R104</xm:sqref>
        </x14:conditionalFormatting>
        <x14:conditionalFormatting xmlns:xm="http://schemas.microsoft.com/office/excel/2006/main">
          <x14:cfRule type="cellIs" priority="2740" stopIfTrue="1" operator="greaterThan" id="{1CBA8BAE-369B-49BD-8A54-8EDD0A2FF27E}">
            <xm:f>(1+Projekteinstellungen!$K$9)*$S$102</xm:f>
            <x14:dxf>
              <font>
                <color rgb="FF000000"/>
              </font>
              <fill>
                <patternFill>
                  <bgColor rgb="FFF55F5F"/>
                </patternFill>
              </fill>
            </x14:dxf>
          </x14:cfRule>
          <xm:sqref>S104</xm:sqref>
        </x14:conditionalFormatting>
        <x14:conditionalFormatting xmlns:xm="http://schemas.microsoft.com/office/excel/2006/main">
          <x14:cfRule type="cellIs" priority="2741" stopIfTrue="1" operator="greaterThan" id="{780885DA-8CBE-4748-8453-330A86EE0337}">
            <xm:f>(1+Projekteinstellungen!$K$9)*$R$107</xm:f>
            <x14:dxf>
              <font>
                <color rgb="FF000000"/>
              </font>
              <fill>
                <patternFill>
                  <bgColor rgb="FFF55F5F"/>
                </patternFill>
              </fill>
            </x14:dxf>
          </x14:cfRule>
          <xm:sqref>R109</xm:sqref>
        </x14:conditionalFormatting>
        <x14:conditionalFormatting xmlns:xm="http://schemas.microsoft.com/office/excel/2006/main">
          <x14:cfRule type="cellIs" priority="2742" stopIfTrue="1" operator="lessThan" id="{09B92766-089F-4266-BEEF-AA2D3F908693}">
            <xm:f>(1-Projekteinstellungen!$K$9)*$R$107</xm:f>
            <x14:dxf>
              <font>
                <color rgb="FF000000"/>
              </font>
              <fill>
                <patternFill>
                  <bgColor rgb="FFFFD966"/>
                </patternFill>
              </fill>
            </x14:dxf>
          </x14:cfRule>
          <xm:sqref>R109</xm:sqref>
        </x14:conditionalFormatting>
        <x14:conditionalFormatting xmlns:xm="http://schemas.microsoft.com/office/excel/2006/main">
          <x14:cfRule type="cellIs" priority="2743" stopIfTrue="1" operator="greaterThan" id="{A9DD0359-D0F7-446B-A6A7-FD8B0B1EF281}">
            <xm:f>(1+Projekteinstellungen!$K$9)*$S$107</xm:f>
            <x14:dxf>
              <font>
                <color rgb="FF000000"/>
              </font>
              <fill>
                <patternFill>
                  <bgColor rgb="FFF55F5F"/>
                </patternFill>
              </fill>
            </x14:dxf>
          </x14:cfRule>
          <xm:sqref>S109</xm:sqref>
        </x14:conditionalFormatting>
        <x14:conditionalFormatting xmlns:xm="http://schemas.microsoft.com/office/excel/2006/main">
          <x14:cfRule type="cellIs" priority="2744" stopIfTrue="1" operator="greaterThan" id="{C25696A8-073A-4CE3-A004-994E16061AE9}">
            <xm:f>(1+Projekteinstellungen!$K$9)*$R$112</xm:f>
            <x14:dxf>
              <font>
                <color rgb="FF000000"/>
              </font>
              <fill>
                <patternFill>
                  <bgColor rgb="FFF55F5F"/>
                </patternFill>
              </fill>
            </x14:dxf>
          </x14:cfRule>
          <xm:sqref>R114</xm:sqref>
        </x14:conditionalFormatting>
        <x14:conditionalFormatting xmlns:xm="http://schemas.microsoft.com/office/excel/2006/main">
          <x14:cfRule type="cellIs" priority="2745" stopIfTrue="1" operator="lessThan" id="{6E66B649-A325-47BA-A692-F72BB37C7750}">
            <xm:f>(1-Projekteinstellungen!$K$9)*$R$112</xm:f>
            <x14:dxf>
              <font>
                <color rgb="FF000000"/>
              </font>
              <fill>
                <patternFill>
                  <bgColor rgb="FFFFD966"/>
                </patternFill>
              </fill>
            </x14:dxf>
          </x14:cfRule>
          <xm:sqref>R114</xm:sqref>
        </x14:conditionalFormatting>
        <x14:conditionalFormatting xmlns:xm="http://schemas.microsoft.com/office/excel/2006/main">
          <x14:cfRule type="cellIs" priority="2746" stopIfTrue="1" operator="greaterThan" id="{F741D4A5-81E1-40B1-BC9F-6AF249FBFC18}">
            <xm:f>(1+Projekteinstellungen!$K$9)*$S$112</xm:f>
            <x14:dxf>
              <font>
                <color rgb="FF000000"/>
              </font>
              <fill>
                <patternFill>
                  <bgColor rgb="FFF55F5F"/>
                </patternFill>
              </fill>
            </x14:dxf>
          </x14:cfRule>
          <xm:sqref>S114</xm:sqref>
        </x14:conditionalFormatting>
        <x14:conditionalFormatting xmlns:xm="http://schemas.microsoft.com/office/excel/2006/main">
          <x14:cfRule type="cellIs" priority="2747" stopIfTrue="1" operator="greaterThan" id="{0B1E16A3-BC66-41DD-88F1-1ECEF889808F}">
            <xm:f>(1+Projekteinstellungen!$K$9)*$R$117</xm:f>
            <x14:dxf>
              <font>
                <color rgb="FF000000"/>
              </font>
              <fill>
                <patternFill>
                  <bgColor rgb="FFF55F5F"/>
                </patternFill>
              </fill>
            </x14:dxf>
          </x14:cfRule>
          <xm:sqref>R119</xm:sqref>
        </x14:conditionalFormatting>
        <x14:conditionalFormatting xmlns:xm="http://schemas.microsoft.com/office/excel/2006/main">
          <x14:cfRule type="cellIs" priority="2748" stopIfTrue="1" operator="lessThan" id="{148DD2E7-1D69-43CD-B64F-2549E7A53308}">
            <xm:f>(1-Projekteinstellungen!$K$9)*$R$117</xm:f>
            <x14:dxf>
              <font>
                <color rgb="FF000000"/>
              </font>
              <fill>
                <patternFill>
                  <bgColor rgb="FFFFD966"/>
                </patternFill>
              </fill>
            </x14:dxf>
          </x14:cfRule>
          <xm:sqref>R119</xm:sqref>
        </x14:conditionalFormatting>
        <x14:conditionalFormatting xmlns:xm="http://schemas.microsoft.com/office/excel/2006/main">
          <x14:cfRule type="cellIs" priority="2749" stopIfTrue="1" operator="greaterThan" id="{AD7E7124-0F55-48DD-A12D-534B5A5668FA}">
            <xm:f>(1+Projekteinstellungen!$K$9)*$S$117</xm:f>
            <x14:dxf>
              <font>
                <color rgb="FF000000"/>
              </font>
              <fill>
                <patternFill>
                  <bgColor rgb="FFF55F5F"/>
                </patternFill>
              </fill>
            </x14:dxf>
          </x14:cfRule>
          <xm:sqref>S119</xm:sqref>
        </x14:conditionalFormatting>
        <x14:conditionalFormatting xmlns:xm="http://schemas.microsoft.com/office/excel/2006/main">
          <x14:cfRule type="cellIs" priority="2750" stopIfTrue="1" operator="greaterThan" id="{C75BD196-E764-44BC-ADA5-D3A5072205F7}">
            <xm:f>(1+Projekteinstellungen!$K$9)*$R$122</xm:f>
            <x14:dxf>
              <font>
                <color rgb="FF000000"/>
              </font>
              <fill>
                <patternFill>
                  <bgColor rgb="FFF55F5F"/>
                </patternFill>
              </fill>
            </x14:dxf>
          </x14:cfRule>
          <xm:sqref>R124</xm:sqref>
        </x14:conditionalFormatting>
        <x14:conditionalFormatting xmlns:xm="http://schemas.microsoft.com/office/excel/2006/main">
          <x14:cfRule type="cellIs" priority="2751" stopIfTrue="1" operator="lessThan" id="{D4C2F756-14E4-4CE7-B64A-3869A47486AC}">
            <xm:f>(1-Projekteinstellungen!$K$9)*$R$122</xm:f>
            <x14:dxf>
              <font>
                <color rgb="FF000000"/>
              </font>
              <fill>
                <patternFill>
                  <bgColor rgb="FFFFD966"/>
                </patternFill>
              </fill>
            </x14:dxf>
          </x14:cfRule>
          <xm:sqref>R124</xm:sqref>
        </x14:conditionalFormatting>
        <x14:conditionalFormatting xmlns:xm="http://schemas.microsoft.com/office/excel/2006/main">
          <x14:cfRule type="cellIs" priority="2752" stopIfTrue="1" operator="greaterThan" id="{FAAD0D86-6521-46B2-AF3F-41C54F99AE16}">
            <xm:f>(1+Projekteinstellungen!$K$9)*$S$122</xm:f>
            <x14:dxf>
              <font>
                <color rgb="FF000000"/>
              </font>
              <fill>
                <patternFill>
                  <bgColor rgb="FFF55F5F"/>
                </patternFill>
              </fill>
            </x14:dxf>
          </x14:cfRule>
          <xm:sqref>S124</xm:sqref>
        </x14:conditionalFormatting>
        <x14:conditionalFormatting xmlns:xm="http://schemas.microsoft.com/office/excel/2006/main">
          <x14:cfRule type="cellIs" priority="2753" stopIfTrue="1" operator="greaterThan" id="{6D152B09-9D24-46DC-A83F-B22D06299CD4}">
            <xm:f>(1+Projekteinstellungen!$K$9)*$R$127</xm:f>
            <x14:dxf>
              <font>
                <color rgb="FF000000"/>
              </font>
              <fill>
                <patternFill>
                  <bgColor rgb="FFF55F5F"/>
                </patternFill>
              </fill>
            </x14:dxf>
          </x14:cfRule>
          <xm:sqref>R129</xm:sqref>
        </x14:conditionalFormatting>
        <x14:conditionalFormatting xmlns:xm="http://schemas.microsoft.com/office/excel/2006/main">
          <x14:cfRule type="cellIs" priority="2754" stopIfTrue="1" operator="lessThan" id="{5E54E2CA-75AD-4E3E-A5AA-3562B4975B82}">
            <xm:f>(1-Projekteinstellungen!$K$9)*$R$127</xm:f>
            <x14:dxf>
              <font>
                <color rgb="FF000000"/>
              </font>
              <fill>
                <patternFill>
                  <bgColor rgb="FFFFD966"/>
                </patternFill>
              </fill>
            </x14:dxf>
          </x14:cfRule>
          <xm:sqref>R129</xm:sqref>
        </x14:conditionalFormatting>
        <x14:conditionalFormatting xmlns:xm="http://schemas.microsoft.com/office/excel/2006/main">
          <x14:cfRule type="cellIs" priority="2755" stopIfTrue="1" operator="greaterThan" id="{8E8F233C-FC27-49A6-814E-C1AFAA9BE7B7}">
            <xm:f>(1+Projekteinstellungen!$K$9)*$S$127</xm:f>
            <x14:dxf>
              <font>
                <color rgb="FF000000"/>
              </font>
              <fill>
                <patternFill>
                  <bgColor rgb="FFF55F5F"/>
                </patternFill>
              </fill>
            </x14:dxf>
          </x14:cfRule>
          <xm:sqref>S129</xm:sqref>
        </x14:conditionalFormatting>
        <x14:conditionalFormatting xmlns:xm="http://schemas.microsoft.com/office/excel/2006/main">
          <x14:cfRule type="cellIs" priority="2756" stopIfTrue="1" operator="greaterThan" id="{73D6C163-64AB-4CD2-A255-A674272E08B9}">
            <xm:f>(1+Projekteinstellungen!$K$9)*$R$132</xm:f>
            <x14:dxf>
              <font>
                <color rgb="FF000000"/>
              </font>
              <fill>
                <patternFill>
                  <bgColor rgb="FFF55F5F"/>
                </patternFill>
              </fill>
            </x14:dxf>
          </x14:cfRule>
          <xm:sqref>R134</xm:sqref>
        </x14:conditionalFormatting>
        <x14:conditionalFormatting xmlns:xm="http://schemas.microsoft.com/office/excel/2006/main">
          <x14:cfRule type="cellIs" priority="2757" stopIfTrue="1" operator="lessThan" id="{211E1583-4467-409B-91C1-93D2EBCF2EB1}">
            <xm:f>(1-Projekteinstellungen!$K$9)*$R$132</xm:f>
            <x14:dxf>
              <font>
                <color rgb="FF000000"/>
              </font>
              <fill>
                <patternFill>
                  <bgColor rgb="FFFFD966"/>
                </patternFill>
              </fill>
            </x14:dxf>
          </x14:cfRule>
          <xm:sqref>R134</xm:sqref>
        </x14:conditionalFormatting>
        <x14:conditionalFormatting xmlns:xm="http://schemas.microsoft.com/office/excel/2006/main">
          <x14:cfRule type="cellIs" priority="2758" stopIfTrue="1" operator="greaterThan" id="{F3FD7E55-D118-450E-A6E5-EE84AD4D7994}">
            <xm:f>(1+Projekteinstellungen!$K$9)*$S$132</xm:f>
            <x14:dxf>
              <font>
                <color rgb="FF000000"/>
              </font>
              <fill>
                <patternFill>
                  <bgColor rgb="FFF55F5F"/>
                </patternFill>
              </fill>
            </x14:dxf>
          </x14:cfRule>
          <xm:sqref>S134</xm:sqref>
        </x14:conditionalFormatting>
        <x14:conditionalFormatting xmlns:xm="http://schemas.microsoft.com/office/excel/2006/main">
          <x14:cfRule type="cellIs" priority="2759" stopIfTrue="1" operator="greaterThan" id="{F650A518-8820-4AB6-8830-3166EB1600D4}">
            <xm:f>(1+Projekteinstellungen!$K$9)*$R$137</xm:f>
            <x14:dxf>
              <font>
                <color rgb="FF000000"/>
              </font>
              <fill>
                <patternFill>
                  <bgColor rgb="FFF55F5F"/>
                </patternFill>
              </fill>
            </x14:dxf>
          </x14:cfRule>
          <xm:sqref>R139</xm:sqref>
        </x14:conditionalFormatting>
        <x14:conditionalFormatting xmlns:xm="http://schemas.microsoft.com/office/excel/2006/main">
          <x14:cfRule type="cellIs" priority="2760" stopIfTrue="1" operator="lessThan" id="{D5263985-B903-46A8-A6B1-2072F7C7045B}">
            <xm:f>(1-Projekteinstellungen!$K$9)*$R$137</xm:f>
            <x14:dxf>
              <font>
                <color rgb="FF000000"/>
              </font>
              <fill>
                <patternFill>
                  <bgColor rgb="FFFFD966"/>
                </patternFill>
              </fill>
            </x14:dxf>
          </x14:cfRule>
          <xm:sqref>R139</xm:sqref>
        </x14:conditionalFormatting>
        <x14:conditionalFormatting xmlns:xm="http://schemas.microsoft.com/office/excel/2006/main">
          <x14:cfRule type="cellIs" priority="2761" stopIfTrue="1" operator="greaterThan" id="{2CA5DDE4-6337-4784-8EF7-14229DB80C98}">
            <xm:f>(1+Projekteinstellungen!$K$9)*$S$137</xm:f>
            <x14:dxf>
              <font>
                <color rgb="FF000000"/>
              </font>
              <fill>
                <patternFill>
                  <bgColor rgb="FFF55F5F"/>
                </patternFill>
              </fill>
            </x14:dxf>
          </x14:cfRule>
          <xm:sqref>S139</xm:sqref>
        </x14:conditionalFormatting>
        <x14:conditionalFormatting xmlns:xm="http://schemas.microsoft.com/office/excel/2006/main">
          <x14:cfRule type="cellIs" priority="2762" stopIfTrue="1" operator="greaterThan" id="{5D089D55-FFF8-4BF3-AD3C-845D0C8BF3AD}">
            <xm:f>(1+Projekteinstellungen!$K$9)*$R$142</xm:f>
            <x14:dxf>
              <font>
                <color rgb="FF000000"/>
              </font>
              <fill>
                <patternFill>
                  <bgColor rgb="FFF55F5F"/>
                </patternFill>
              </fill>
            </x14:dxf>
          </x14:cfRule>
          <xm:sqref>R144</xm:sqref>
        </x14:conditionalFormatting>
        <x14:conditionalFormatting xmlns:xm="http://schemas.microsoft.com/office/excel/2006/main">
          <x14:cfRule type="cellIs" priority="2763" stopIfTrue="1" operator="lessThan" id="{3E60A8C2-02F3-40D5-822A-350DC2FD00DB}">
            <xm:f>(1-Projekteinstellungen!$K$9)*$R$142</xm:f>
            <x14:dxf>
              <font>
                <color rgb="FF000000"/>
              </font>
              <fill>
                <patternFill>
                  <bgColor rgb="FFFFD966"/>
                </patternFill>
              </fill>
            </x14:dxf>
          </x14:cfRule>
          <xm:sqref>R144</xm:sqref>
        </x14:conditionalFormatting>
        <x14:conditionalFormatting xmlns:xm="http://schemas.microsoft.com/office/excel/2006/main">
          <x14:cfRule type="cellIs" priority="2764" stopIfTrue="1" operator="greaterThan" id="{10039FF9-654C-4835-9FBB-AA8A27D4AE3C}">
            <xm:f>(1+Projekteinstellungen!$K$9)*$S$142</xm:f>
            <x14:dxf>
              <font>
                <color rgb="FF000000"/>
              </font>
              <fill>
                <patternFill>
                  <bgColor rgb="FFF55F5F"/>
                </patternFill>
              </fill>
            </x14:dxf>
          </x14:cfRule>
          <xm:sqref>S144</xm:sqref>
        </x14:conditionalFormatting>
        <x14:conditionalFormatting xmlns:xm="http://schemas.microsoft.com/office/excel/2006/main">
          <x14:cfRule type="cellIs" priority="2765" stopIfTrue="1" operator="greaterThan" id="{618AF6AC-E4A4-4C04-8FA6-93A984B22711}">
            <xm:f>(1+Projekteinstellungen!$K$9)*$R$147</xm:f>
            <x14:dxf>
              <font>
                <color rgb="FF000000"/>
              </font>
              <fill>
                <patternFill>
                  <bgColor rgb="FFF55F5F"/>
                </patternFill>
              </fill>
            </x14:dxf>
          </x14:cfRule>
          <xm:sqref>R148</xm:sqref>
        </x14:conditionalFormatting>
        <x14:conditionalFormatting xmlns:xm="http://schemas.microsoft.com/office/excel/2006/main">
          <x14:cfRule type="cellIs" priority="2766" stopIfTrue="1" operator="lessThan" id="{B4CD4DF9-7C6C-4316-AC9D-377914E174E3}">
            <xm:f>(1-Projekteinstellungen!$K$9)*$R$147</xm:f>
            <x14:dxf>
              <font>
                <color rgb="FF000000"/>
              </font>
              <fill>
                <patternFill>
                  <bgColor rgb="FFFFD966"/>
                </patternFill>
              </fill>
            </x14:dxf>
          </x14:cfRule>
          <xm:sqref>R148</xm:sqref>
        </x14:conditionalFormatting>
        <x14:conditionalFormatting xmlns:xm="http://schemas.microsoft.com/office/excel/2006/main">
          <x14:cfRule type="cellIs" priority="2767" stopIfTrue="1" operator="greaterThan" id="{5553744F-FD55-408E-A4D4-7DEC5A084792}">
            <xm:f>(1+Projekteinstellungen!$K$9)*$S$147</xm:f>
            <x14:dxf>
              <font>
                <color rgb="FF000000"/>
              </font>
              <fill>
                <patternFill>
                  <bgColor rgb="FFF55F5F"/>
                </patternFill>
              </fill>
            </x14:dxf>
          </x14:cfRule>
          <xm:sqref>S148</xm:sqref>
        </x14:conditionalFormatting>
        <x14:conditionalFormatting xmlns:xm="http://schemas.microsoft.com/office/excel/2006/main">
          <x14:cfRule type="cellIs" priority="2768" stopIfTrue="1" operator="greaterThan" id="{C2CD795E-5E75-4BC8-89CD-E9BA3878C3E8}">
            <xm:f>(1+Projekteinstellungen!$K$9)*$R$151</xm:f>
            <x14:dxf>
              <font>
                <color rgb="FF000000"/>
              </font>
              <fill>
                <patternFill>
                  <bgColor rgb="FFF55F5F"/>
                </patternFill>
              </fill>
            </x14:dxf>
          </x14:cfRule>
          <xm:sqref>R153</xm:sqref>
        </x14:conditionalFormatting>
        <x14:conditionalFormatting xmlns:xm="http://schemas.microsoft.com/office/excel/2006/main">
          <x14:cfRule type="cellIs" priority="2769" stopIfTrue="1" operator="lessThan" id="{4D620F0A-A5B9-427D-852C-239B15DE396B}">
            <xm:f>(1-Projekteinstellungen!$K$9)*$R$151</xm:f>
            <x14:dxf>
              <font>
                <color rgb="FF000000"/>
              </font>
              <fill>
                <patternFill>
                  <bgColor rgb="FFFFD966"/>
                </patternFill>
              </fill>
            </x14:dxf>
          </x14:cfRule>
          <xm:sqref>R153</xm:sqref>
        </x14:conditionalFormatting>
        <x14:conditionalFormatting xmlns:xm="http://schemas.microsoft.com/office/excel/2006/main">
          <x14:cfRule type="cellIs" priority="2770" stopIfTrue="1" operator="greaterThan" id="{ACE809F7-9559-428A-93D7-358D9D9E81DC}">
            <xm:f>(1+Projekteinstellungen!$K$9)*$S$151</xm:f>
            <x14:dxf>
              <font>
                <color rgb="FF000000"/>
              </font>
              <fill>
                <patternFill>
                  <bgColor rgb="FFF55F5F"/>
                </patternFill>
              </fill>
            </x14:dxf>
          </x14:cfRule>
          <xm:sqref>S153</xm:sqref>
        </x14:conditionalFormatting>
        <x14:conditionalFormatting xmlns:xm="http://schemas.microsoft.com/office/excel/2006/main">
          <x14:cfRule type="cellIs" priority="2771" stopIfTrue="1" operator="greaterThan" id="{C71233A2-791D-437A-9913-B3ADC7FD95AB}">
            <xm:f>(1+Projekteinstellungen!$K$9)*$R$156</xm:f>
            <x14:dxf>
              <font>
                <color rgb="FF000000"/>
              </font>
              <fill>
                <patternFill>
                  <bgColor rgb="FFF55F5F"/>
                </patternFill>
              </fill>
            </x14:dxf>
          </x14:cfRule>
          <xm:sqref>R158</xm:sqref>
        </x14:conditionalFormatting>
        <x14:conditionalFormatting xmlns:xm="http://schemas.microsoft.com/office/excel/2006/main">
          <x14:cfRule type="cellIs" priority="2772" stopIfTrue="1" operator="lessThan" id="{2E492493-217F-4615-B390-C35C57435115}">
            <xm:f>(1-Projekteinstellungen!$K$9)*$R$156</xm:f>
            <x14:dxf>
              <font>
                <color rgb="FF000000"/>
              </font>
              <fill>
                <patternFill>
                  <bgColor rgb="FFFFD966"/>
                </patternFill>
              </fill>
            </x14:dxf>
          </x14:cfRule>
          <xm:sqref>R158</xm:sqref>
        </x14:conditionalFormatting>
        <x14:conditionalFormatting xmlns:xm="http://schemas.microsoft.com/office/excel/2006/main">
          <x14:cfRule type="cellIs" priority="2773" stopIfTrue="1" operator="greaterThan" id="{9A3E8872-D1E7-4503-B6D2-F318029BF72D}">
            <xm:f>(1+Projekteinstellungen!$K$9)*$S$156</xm:f>
            <x14:dxf>
              <font>
                <color rgb="FF000000"/>
              </font>
              <fill>
                <patternFill>
                  <bgColor rgb="FFF55F5F"/>
                </patternFill>
              </fill>
            </x14:dxf>
          </x14:cfRule>
          <xm:sqref>S158</xm:sqref>
        </x14:conditionalFormatting>
        <x14:conditionalFormatting xmlns:xm="http://schemas.microsoft.com/office/excel/2006/main">
          <x14:cfRule type="cellIs" priority="2774" stopIfTrue="1" operator="greaterThan" id="{E8133482-7177-489E-A474-B811D49202BF}">
            <xm:f>(1+Projekteinstellungen!$K$9)*$R$161</xm:f>
            <x14:dxf>
              <font>
                <color rgb="FF000000"/>
              </font>
              <fill>
                <patternFill>
                  <bgColor rgb="FFF55F5F"/>
                </patternFill>
              </fill>
            </x14:dxf>
          </x14:cfRule>
          <xm:sqref>R163</xm:sqref>
        </x14:conditionalFormatting>
        <x14:conditionalFormatting xmlns:xm="http://schemas.microsoft.com/office/excel/2006/main">
          <x14:cfRule type="cellIs" priority="2775" stopIfTrue="1" operator="lessThan" id="{1179EB56-5313-449E-ADDB-AA7C3CF30B60}">
            <xm:f>(1-Projekteinstellungen!$K$9)*$R$161</xm:f>
            <x14:dxf>
              <font>
                <color rgb="FF000000"/>
              </font>
              <fill>
                <patternFill>
                  <bgColor rgb="FFFFD966"/>
                </patternFill>
              </fill>
            </x14:dxf>
          </x14:cfRule>
          <xm:sqref>R163</xm:sqref>
        </x14:conditionalFormatting>
        <x14:conditionalFormatting xmlns:xm="http://schemas.microsoft.com/office/excel/2006/main">
          <x14:cfRule type="cellIs" priority="2776" stopIfTrue="1" operator="greaterThan" id="{6D4D23B8-E223-4C1B-93AC-F5B5A1434AA1}">
            <xm:f>(1+Projekteinstellungen!$K$9)*$S$161</xm:f>
            <x14:dxf>
              <font>
                <color rgb="FF000000"/>
              </font>
              <fill>
                <patternFill>
                  <bgColor rgb="FFF55F5F"/>
                </patternFill>
              </fill>
            </x14:dxf>
          </x14:cfRule>
          <xm:sqref>S163</xm:sqref>
        </x14:conditionalFormatting>
        <x14:conditionalFormatting xmlns:xm="http://schemas.microsoft.com/office/excel/2006/main">
          <x14:cfRule type="cellIs" priority="2777" stopIfTrue="1" operator="greaterThan" id="{A7D5760E-A593-4EE7-AF44-651F894724A0}">
            <xm:f>(1+Projekteinstellungen!$K$9)*$R$166</xm:f>
            <x14:dxf>
              <font>
                <color rgb="FF000000"/>
              </font>
              <fill>
                <patternFill>
                  <bgColor rgb="FFF55F5F"/>
                </patternFill>
              </fill>
            </x14:dxf>
          </x14:cfRule>
          <xm:sqref>R168</xm:sqref>
        </x14:conditionalFormatting>
        <x14:conditionalFormatting xmlns:xm="http://schemas.microsoft.com/office/excel/2006/main">
          <x14:cfRule type="cellIs" priority="2778" stopIfTrue="1" operator="lessThan" id="{69B45EBF-2B77-4069-AC77-ECF1E175BFF6}">
            <xm:f>(1-Projekteinstellungen!$K$9)*$R$166</xm:f>
            <x14:dxf>
              <font>
                <color rgb="FF000000"/>
              </font>
              <fill>
                <patternFill>
                  <bgColor rgb="FFFFD966"/>
                </patternFill>
              </fill>
            </x14:dxf>
          </x14:cfRule>
          <xm:sqref>R168</xm:sqref>
        </x14:conditionalFormatting>
        <x14:conditionalFormatting xmlns:xm="http://schemas.microsoft.com/office/excel/2006/main">
          <x14:cfRule type="cellIs" priority="2779" stopIfTrue="1" operator="greaterThan" id="{B1F0EB54-1780-451B-B8A0-68753948619D}">
            <xm:f>(1+Projekteinstellungen!$K$9)*$S$166</xm:f>
            <x14:dxf>
              <font>
                <color rgb="FF000000"/>
              </font>
              <fill>
                <patternFill>
                  <bgColor rgb="FFF55F5F"/>
                </patternFill>
              </fill>
            </x14:dxf>
          </x14:cfRule>
          <xm:sqref>S168</xm:sqref>
        </x14:conditionalFormatting>
        <x14:conditionalFormatting xmlns:xm="http://schemas.microsoft.com/office/excel/2006/main">
          <x14:cfRule type="cellIs" priority="2780" stopIfTrue="1" operator="greaterThan" id="{4A83ECCA-DB76-4F92-ABF1-9EB650B3A04E}">
            <xm:f>(1+Projekteinstellungen!$K$9)*$R$171</xm:f>
            <x14:dxf>
              <font>
                <color rgb="FF000000"/>
              </font>
              <fill>
                <patternFill>
                  <bgColor rgb="FFF55F5F"/>
                </patternFill>
              </fill>
            </x14:dxf>
          </x14:cfRule>
          <xm:sqref>R173</xm:sqref>
        </x14:conditionalFormatting>
        <x14:conditionalFormatting xmlns:xm="http://schemas.microsoft.com/office/excel/2006/main">
          <x14:cfRule type="cellIs" priority="2781" stopIfTrue="1" operator="lessThan" id="{D4EBFC29-7F7C-495B-B633-BA50D0FD6A20}">
            <xm:f>(1-Projekteinstellungen!$K$9)*$R$171</xm:f>
            <x14:dxf>
              <font>
                <color rgb="FF000000"/>
              </font>
              <fill>
                <patternFill>
                  <bgColor rgb="FFFFD966"/>
                </patternFill>
              </fill>
            </x14:dxf>
          </x14:cfRule>
          <xm:sqref>R173</xm:sqref>
        </x14:conditionalFormatting>
        <x14:conditionalFormatting xmlns:xm="http://schemas.microsoft.com/office/excel/2006/main">
          <x14:cfRule type="cellIs" priority="2782" stopIfTrue="1" operator="greaterThan" id="{DEC33058-6277-47C4-BF27-4AD6765FF34F}">
            <xm:f>(1+Projekteinstellungen!$K$9)*$S$171</xm:f>
            <x14:dxf>
              <font>
                <color rgb="FF000000"/>
              </font>
              <fill>
                <patternFill>
                  <bgColor rgb="FFF55F5F"/>
                </patternFill>
              </fill>
            </x14:dxf>
          </x14:cfRule>
          <xm:sqref>S173</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49D5E197-5A2A-41AE-AC97-4EEDB574B7F0}">
          <x14:formula1>
            <xm:f>Projekteinstellungen!$B$37:$B$57</xm:f>
          </x14:formula1>
          <xm:sqref>N4 N8 N12:N13 N57:N58 N62:N63 N67:N68 N72:N73 N77:N78 N82:N83 N87:N88 N92:N93 N97:N98 N102:N103 N17:N18 N107:N108 N112:N113 N117:N118 N122:N123 N127:N128 N132:N133 N137:N138 N142:N143 N22:N23 N27:N28 N32:N33 N37:N38 N42:N43 N47:N48 N52:N53 N147 N151:N152 N156:N157 N161:N162 N166:N167 N171:N172</xm:sqref>
        </x14:dataValidation>
        <x14:dataValidation type="list" allowBlank="1" showInputMessage="1" showErrorMessage="1" xr:uid="{059E1984-31EA-42FD-8158-8932D31BC35B}">
          <x14:formula1>
            <xm:f>Projekteinstellungen!$B$32:$B$33</xm:f>
          </x14:formula1>
          <xm:sqref>E13 E58 E63 E68 E73 E78 E83 E88 E93 E98 E103 E18 E108 E113 E118 E123 E128 E133 E138 E143 E23 E28 E33 E38 E43 E48 E53 E152 E157 E162 E167 E172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D65AD-26AD-4D94-9BC9-7150C1CB40E1}">
  <sheetPr codeName="Tabelle11">
    <outlinePr summaryBelow="0"/>
  </sheetPr>
  <dimension ref="A1:AC19"/>
  <sheetViews>
    <sheetView zoomScale="85" zoomScaleNormal="85" workbookViewId="0">
      <pane ySplit="6" topLeftCell="A7" activePane="bottomLeft" state="frozen"/>
      <selection pane="bottomLeft" activeCell="P26" sqref="P26"/>
    </sheetView>
  </sheetViews>
  <sheetFormatPr baseColWidth="10" defaultRowHeight="15" customHeight="1" outlineLevelRow="1" outlineLevelCol="1"/>
  <cols>
    <col min="1" max="1" width="2.7109375" style="267" customWidth="1"/>
    <col min="2" max="2" width="2" style="11" customWidth="1"/>
    <col min="3" max="3" width="1" style="11" customWidth="1"/>
    <col min="4" max="4" width="7.28515625" style="11" customWidth="1" collapsed="1"/>
    <col min="5" max="5" width="8.140625" style="11" hidden="1" customWidth="1" outlineLevel="1"/>
    <col min="6" max="6" width="39.42578125" style="11" customWidth="1" collapsed="1"/>
    <col min="7" max="7" width="39.42578125" style="11" customWidth="1"/>
    <col min="8" max="8" width="33.140625" style="11" customWidth="1"/>
    <col min="9" max="9" width="2.5703125" style="17" customWidth="1" outlineLevel="1"/>
    <col min="10" max="10" width="12.85546875" style="146" customWidth="1" outlineLevel="1"/>
    <col min="11" max="11" width="13.7109375" style="11" customWidth="1" outlineLevel="1"/>
    <col min="12" max="12" width="12.85546875" style="17" customWidth="1"/>
    <col min="13" max="13" width="12.7109375" style="11" customWidth="1"/>
    <col min="14" max="14" width="11.7109375" style="11" customWidth="1" collapsed="1"/>
    <col min="15" max="15" width="13.7109375" style="11" hidden="1" customWidth="1" outlineLevel="1"/>
    <col min="16" max="16" width="13.7109375" style="11" customWidth="1" collapsed="1"/>
    <col min="17" max="17" width="7.7109375" style="11" customWidth="1"/>
    <col min="18" max="20" width="11.7109375" style="11" customWidth="1"/>
    <col min="21" max="21" width="5" style="11" customWidth="1"/>
    <col min="22" max="23" width="9.42578125" style="11" customWidth="1"/>
    <col min="24" max="24" width="14.85546875" style="17" hidden="1" customWidth="1"/>
    <col min="25" max="25" width="11.42578125" style="17" hidden="1" customWidth="1"/>
    <col min="26" max="28" width="11.42578125" style="11" hidden="1" customWidth="1"/>
    <col min="29" max="16384" width="11.42578125" style="11"/>
  </cols>
  <sheetData>
    <row r="1" spans="1:29" s="12" customFormat="1" ht="29.45" customHeight="1">
      <c r="A1" s="431" t="s">
        <v>131</v>
      </c>
      <c r="B1" s="94"/>
      <c r="D1" s="9" t="s">
        <v>347</v>
      </c>
      <c r="E1" s="10" t="s">
        <v>137</v>
      </c>
      <c r="F1" s="10" t="s">
        <v>163</v>
      </c>
      <c r="G1" s="10" t="s">
        <v>39</v>
      </c>
      <c r="H1" s="10" t="s">
        <v>19</v>
      </c>
      <c r="I1" s="447" t="s">
        <v>164</v>
      </c>
      <c r="J1" s="448"/>
      <c r="K1" s="448"/>
      <c r="L1" s="448"/>
      <c r="M1" s="449"/>
      <c r="N1" s="10" t="s">
        <v>20</v>
      </c>
      <c r="O1" s="448" t="s">
        <v>13</v>
      </c>
      <c r="P1" s="449"/>
      <c r="Q1" s="117"/>
      <c r="R1" s="447" t="s">
        <v>134</v>
      </c>
      <c r="S1" s="449"/>
      <c r="T1" s="119"/>
      <c r="U1" s="118"/>
      <c r="V1" s="447" t="s">
        <v>14</v>
      </c>
      <c r="W1" s="448"/>
      <c r="X1" s="443" t="s">
        <v>47</v>
      </c>
      <c r="Y1" s="443"/>
      <c r="Z1" s="443" t="s">
        <v>100</v>
      </c>
      <c r="AA1" s="443"/>
      <c r="AB1" s="443"/>
      <c r="AC1" s="97"/>
    </row>
    <row r="2" spans="1:29" ht="17.25" customHeight="1" collapsed="1">
      <c r="A2" s="446"/>
      <c r="B2" s="94"/>
      <c r="D2" s="175"/>
      <c r="E2" s="176"/>
      <c r="F2" s="176"/>
      <c r="G2" s="176"/>
      <c r="H2" s="132"/>
      <c r="I2" s="124" t="s">
        <v>142</v>
      </c>
      <c r="J2" s="177" t="s">
        <v>141</v>
      </c>
      <c r="K2" s="178"/>
      <c r="L2" s="177" t="s">
        <v>38</v>
      </c>
      <c r="M2" s="124" t="s">
        <v>88</v>
      </c>
      <c r="N2" s="124"/>
      <c r="O2" s="124" t="s">
        <v>127</v>
      </c>
      <c r="P2" s="124" t="s">
        <v>151</v>
      </c>
      <c r="Q2" s="126"/>
      <c r="R2" s="127" t="s">
        <v>11</v>
      </c>
      <c r="S2" s="127" t="s">
        <v>12</v>
      </c>
      <c r="T2" s="127" t="s">
        <v>13</v>
      </c>
      <c r="U2" s="150"/>
      <c r="V2" s="444"/>
      <c r="W2" s="445"/>
      <c r="X2" s="16" t="s">
        <v>11</v>
      </c>
      <c r="Y2" s="17" t="s">
        <v>48</v>
      </c>
      <c r="Z2" s="17" t="str">
        <f>Pos_Hilfstabelle!$B$125</f>
        <v>on track</v>
      </c>
      <c r="AA2" s="17" t="str">
        <f>Pos_Hilfstabelle!$B$126</f>
        <v>critical</v>
      </c>
      <c r="AB2" s="17" t="str">
        <f>Pos_Hilfstabelle!$B$127</f>
        <v>overdue</v>
      </c>
    </row>
    <row r="3" spans="1:29" ht="19.5" hidden="1" customHeight="1" outlineLevel="1">
      <c r="A3" s="446"/>
      <c r="B3" s="94"/>
      <c r="D3" s="147"/>
      <c r="E3" s="147"/>
      <c r="F3" s="148"/>
      <c r="G3" s="148"/>
      <c r="H3" s="261"/>
      <c r="I3" s="259"/>
      <c r="J3" s="258"/>
      <c r="K3" s="237"/>
      <c r="L3" s="258"/>
      <c r="M3" s="237" t="str">
        <f ca="1">IF(ISBLANK(L3),"",NETWORKDAYS(TODAY(),L3))</f>
        <v/>
      </c>
      <c r="N3" s="256"/>
      <c r="O3" s="236"/>
      <c r="P3" s="236"/>
      <c r="Q3" s="130" t="s">
        <v>67</v>
      </c>
      <c r="R3" s="151">
        <f>IF(OR($J$3="",$L$3=""),0,NETWORKDAYS($J$3,$L$3))</f>
        <v>0</v>
      </c>
      <c r="S3" s="151">
        <f ca="1">IF(OR($J$3="",$L$3=""),0,NETWORKDAYS(TODAY(),$L$3))</f>
        <v>0</v>
      </c>
      <c r="T3" s="152">
        <f>IF(R3=0,0,(R3-S3)/R3)</f>
        <v>0</v>
      </c>
      <c r="U3" s="149"/>
      <c r="V3" s="61">
        <f ca="1">IFERROR(($R$3-$S$3)-($R$5-$S$5)*($R$3/$R$5),0)</f>
        <v>0</v>
      </c>
      <c r="W3" s="62" t="str">
        <f>IF($R$3=0,"",$V$3/$R$3)</f>
        <v/>
      </c>
      <c r="X3" s="17">
        <v>0</v>
      </c>
      <c r="Y3" s="17">
        <v>0</v>
      </c>
      <c r="Z3" s="17">
        <f ca="1">COUNTIF($Z$7:$Z$8,Pos_Hilfstabelle!$B$125)</f>
        <v>0</v>
      </c>
      <c r="AA3" s="17">
        <f ca="1">COUNTIF($Z$7:$Z$8,Pos_Hilfstabelle!$B$126)</f>
        <v>0</v>
      </c>
      <c r="AB3" s="17">
        <f ca="1">COUNTIF($Z$7:$Z$8,Pos_Hilfstabelle!$B$127)</f>
        <v>0</v>
      </c>
    </row>
    <row r="4" spans="1:29" ht="19.5" customHeight="1">
      <c r="A4" s="446"/>
      <c r="B4" s="94"/>
      <c r="G4" s="123"/>
      <c r="H4" s="260"/>
      <c r="L4" s="121"/>
      <c r="N4" s="257"/>
      <c r="Q4" s="130" t="s">
        <v>3</v>
      </c>
      <c r="R4" s="61">
        <f>Projekteinstellungen!$B$21*700</f>
        <v>700</v>
      </c>
      <c r="S4" s="61">
        <f>$R$4-Projekteinstellungen!$B$21*307</f>
        <v>393</v>
      </c>
      <c r="T4" s="152">
        <f>IF(R4=0,0,(R4-S4)/R4)</f>
        <v>0.43857142857142856</v>
      </c>
      <c r="U4" s="131"/>
      <c r="V4" s="61">
        <f>($R$4-$S$4)-($R$5-$S$5)</f>
        <v>307</v>
      </c>
      <c r="W4" s="62">
        <f>IF($R$4=0,"",$V$4/$R$4)</f>
        <v>0.43857142857142856</v>
      </c>
      <c r="X4" s="17">
        <f>Projekteinstellungen!$B$21*700</f>
        <v>700</v>
      </c>
      <c r="Y4" s="17">
        <f>Projekteinstellungen!$B$21*293.5</f>
        <v>293.5</v>
      </c>
    </row>
    <row r="5" spans="1:29" ht="19.5" customHeight="1" thickBot="1">
      <c r="A5" s="266"/>
      <c r="B5" s="94"/>
      <c r="G5" s="123"/>
      <c r="L5" s="121"/>
      <c r="M5" s="122"/>
      <c r="Q5" s="128" t="s">
        <v>136</v>
      </c>
      <c r="R5" s="129">
        <f>SUM($R$8)</f>
        <v>0</v>
      </c>
      <c r="S5" s="129">
        <f>SUM($S$8)</f>
        <v>0</v>
      </c>
      <c r="T5" s="144">
        <f>IF(R5=0,0,(R5-S5)/R5)</f>
        <v>0</v>
      </c>
      <c r="U5" s="131"/>
      <c r="V5" s="125"/>
      <c r="W5" s="120"/>
      <c r="Z5" s="17"/>
      <c r="AA5" s="17"/>
      <c r="AB5" s="17"/>
    </row>
    <row r="6" spans="1:29" ht="15" customHeight="1">
      <c r="V6" s="71"/>
      <c r="W6" s="70"/>
      <c r="Z6" s="17"/>
    </row>
    <row r="7" spans="1:29" ht="15" customHeight="1">
      <c r="V7" s="71"/>
      <c r="W7" s="70"/>
      <c r="Z7" s="17"/>
    </row>
    <row r="8" spans="1:29" ht="15" customHeight="1">
      <c r="E8" s="298"/>
      <c r="F8" s="217"/>
      <c r="G8" s="217"/>
      <c r="H8" s="217"/>
      <c r="I8" s="218"/>
      <c r="J8" s="219"/>
      <c r="K8" s="240">
        <f ca="1">IF(OR(J8="",L8=""),0,IF(NETWORKDAYS(J8,TODAY())/NETWORKDAYS(J8,L8)&gt;1,1,NETWORKDAYS(J8,TODAY())/NETWORKDAYS(J8,L8)))</f>
        <v>0</v>
      </c>
      <c r="L8" s="220"/>
      <c r="M8" s="263" t="str">
        <f ca="1">IF(P8&gt;=1,"Done",IF(ISBLANK(L8),"",NETWORKDAYS(TODAY(),L8)))</f>
        <v/>
      </c>
      <c r="N8" s="215"/>
      <c r="O8" s="230">
        <v>0</v>
      </c>
      <c r="P8" s="230">
        <v>0</v>
      </c>
      <c r="Q8" s="299"/>
      <c r="R8" s="228">
        <v>0</v>
      </c>
      <c r="S8" s="228">
        <f>R8/(1-O8)*(1-P8)</f>
        <v>0</v>
      </c>
      <c r="V8" s="71"/>
      <c r="W8" s="70"/>
      <c r="X8" s="17">
        <v>0</v>
      </c>
      <c r="Y8" s="17">
        <v>0</v>
      </c>
      <c r="Z8" s="66" t="str">
        <f ca="1">IF(M8="","tbd",IF(M8="Done","",IF(M8&lt;0,Pos_Hilfstabelle!$B$127,IF(M8-S8&lt;0,Pos_Hilfstabelle!$B$126,Pos_Hilfstabelle!$B$125))))</f>
        <v>tbd</v>
      </c>
    </row>
    <row r="9" spans="1:29" ht="15" customHeight="1">
      <c r="R9" s="96"/>
      <c r="S9" s="96"/>
      <c r="X9" s="17" t="s">
        <v>2</v>
      </c>
    </row>
    <row r="10" spans="1:29" ht="15" customHeight="1">
      <c r="R10" s="96"/>
      <c r="S10" s="96"/>
    </row>
    <row r="11" spans="1:29" ht="15" customHeight="1">
      <c r="R11" s="96"/>
      <c r="S11" s="96"/>
    </row>
    <row r="12" spans="1:29" ht="15" customHeight="1">
      <c r="R12" s="96"/>
      <c r="S12" s="96"/>
    </row>
    <row r="13" spans="1:29" ht="15" customHeight="1">
      <c r="G13" s="297"/>
      <c r="H13" s="297"/>
      <c r="I13" s="297"/>
      <c r="J13" s="297"/>
      <c r="K13" s="297"/>
      <c r="L13" s="297"/>
      <c r="M13" s="297"/>
      <c r="N13" s="297"/>
      <c r="O13" s="297"/>
      <c r="P13" s="297"/>
    </row>
    <row r="14" spans="1:29" ht="15" customHeight="1">
      <c r="G14" s="297"/>
      <c r="H14" s="297"/>
      <c r="I14" s="297"/>
      <c r="J14" s="297"/>
      <c r="K14" s="297"/>
      <c r="L14" s="297"/>
      <c r="M14" s="297"/>
      <c r="N14" s="297"/>
      <c r="O14" s="297"/>
      <c r="P14" s="297"/>
      <c r="R14" s="96"/>
    </row>
    <row r="15" spans="1:29" ht="15" customHeight="1">
      <c r="G15" s="297"/>
      <c r="H15" s="297"/>
      <c r="I15" s="297"/>
      <c r="J15" s="297"/>
      <c r="K15" s="297"/>
      <c r="L15" s="297"/>
      <c r="M15" s="297"/>
      <c r="N15" s="297"/>
      <c r="O15" s="297"/>
      <c r="P15" s="297"/>
    </row>
    <row r="16" spans="1:29" ht="15" customHeight="1">
      <c r="G16" s="297"/>
      <c r="H16" s="297"/>
      <c r="I16" s="297"/>
      <c r="J16" s="297"/>
      <c r="K16" s="297"/>
      <c r="L16" s="297"/>
      <c r="M16" s="297"/>
      <c r="N16" s="297"/>
      <c r="O16" s="297"/>
      <c r="P16" s="297"/>
    </row>
    <row r="17" spans="7:16" ht="15" customHeight="1">
      <c r="G17" s="297"/>
      <c r="H17" s="297"/>
      <c r="I17" s="297"/>
      <c r="J17" s="297"/>
      <c r="K17" s="297"/>
      <c r="L17" s="297"/>
      <c r="M17" s="297"/>
      <c r="N17" s="297"/>
      <c r="O17" s="297"/>
      <c r="P17" s="297"/>
    </row>
    <row r="18" spans="7:16" ht="15" customHeight="1">
      <c r="G18" s="297"/>
      <c r="H18" s="297"/>
      <c r="I18" s="297"/>
      <c r="J18" s="297"/>
      <c r="K18" s="297"/>
      <c r="L18" s="297"/>
      <c r="M18" s="297"/>
      <c r="N18" s="297"/>
      <c r="O18" s="297"/>
      <c r="P18" s="297"/>
    </row>
    <row r="19" spans="7:16" ht="15" customHeight="1">
      <c r="G19" s="297"/>
      <c r="H19" s="297"/>
      <c r="I19" s="297"/>
      <c r="J19" s="297"/>
      <c r="K19" s="297"/>
      <c r="L19" s="297"/>
      <c r="M19" s="297"/>
      <c r="N19" s="297"/>
      <c r="O19" s="297"/>
      <c r="P19" s="297"/>
    </row>
  </sheetData>
  <dataConsolidate/>
  <mergeCells count="8">
    <mergeCell ref="Z1:AB1"/>
    <mergeCell ref="V2:W2"/>
    <mergeCell ref="A1:A4"/>
    <mergeCell ref="I1:M1"/>
    <mergeCell ref="O1:P1"/>
    <mergeCell ref="R1:S1"/>
    <mergeCell ref="V1:W1"/>
    <mergeCell ref="X1:Y1"/>
  </mergeCells>
  <conditionalFormatting sqref="M5 M2:M3">
    <cfRule type="cellIs" dxfId="596" priority="105" operator="lessThan">
      <formula>0</formula>
    </cfRule>
    <cfRule type="cellIs" dxfId="595" priority="106" operator="lessThan">
      <formula>$S$4+#REF!</formula>
    </cfRule>
    <cfRule type="cellIs" dxfId="594" priority="107" operator="lessThan">
      <formula>5</formula>
    </cfRule>
  </conditionalFormatting>
  <conditionalFormatting sqref="T3:T5">
    <cfRule type="dataBar" priority="98">
      <dataBar>
        <cfvo type="num" val="0"/>
        <cfvo type="num" val="1"/>
        <color rgb="FF9AC7F0"/>
      </dataBar>
      <extLst>
        <ext xmlns:x14="http://schemas.microsoft.com/office/spreadsheetml/2009/9/main" uri="{B025F937-C7B1-47D3-B67F-A62EFF666E3E}">
          <x14:id>{B191E637-8AE9-46F3-B71C-8452A1B66212}</x14:id>
        </ext>
      </extLst>
    </cfRule>
  </conditionalFormatting>
  <conditionalFormatting sqref="W3:W4">
    <cfRule type="containsBlanks" dxfId="593" priority="88">
      <formula>LEN(TRIM(W3))=0</formula>
    </cfRule>
    <cfRule type="cellIs" dxfId="592" priority="90" operator="greaterThan">
      <formula>0</formula>
    </cfRule>
    <cfRule type="cellIs" dxfId="591" priority="91" operator="lessThanOrEqual">
      <formula>0</formula>
    </cfRule>
  </conditionalFormatting>
  <conditionalFormatting sqref="S4">
    <cfRule type="cellIs" dxfId="590" priority="73" operator="lessThan">
      <formula>0</formula>
    </cfRule>
  </conditionalFormatting>
  <conditionalFormatting sqref="T4">
    <cfRule type="cellIs" dxfId="589" priority="72" operator="greaterThan">
      <formula>1</formula>
    </cfRule>
  </conditionalFormatting>
  <conditionalFormatting sqref="J3">
    <cfRule type="notContainsBlanks" dxfId="588" priority="52">
      <formula>LEN(TRIM(J3))&gt;0</formula>
    </cfRule>
  </conditionalFormatting>
  <conditionalFormatting sqref="L3">
    <cfRule type="notContainsBlanks" dxfId="587" priority="51">
      <formula>LEN(TRIM(L3))&gt;0</formula>
    </cfRule>
  </conditionalFormatting>
  <conditionalFormatting sqref="M3">
    <cfRule type="notContainsBlanks" dxfId="586" priority="50">
      <formula>LEN(TRIM(M3))&gt;0</formula>
    </cfRule>
  </conditionalFormatting>
  <conditionalFormatting sqref="I3">
    <cfRule type="expression" dxfId="585" priority="48">
      <formula>AND(J3&lt;&gt;"",J3&lt;=TODAY(),P3&lt;1)</formula>
    </cfRule>
  </conditionalFormatting>
  <conditionalFormatting sqref="H3">
    <cfRule type="expression" dxfId="584" priority="47">
      <formula>IF($H$4&lt;&gt;"",TRUE,FALSE)</formula>
    </cfRule>
  </conditionalFormatting>
  <conditionalFormatting sqref="H4">
    <cfRule type="notContainsBlanks" dxfId="583" priority="11">
      <formula>LEN(TRIM(H4))&gt;0</formula>
    </cfRule>
  </conditionalFormatting>
  <conditionalFormatting sqref="I8">
    <cfRule type="expression" dxfId="582" priority="10">
      <formula>AND(J8&lt;&gt;"",J8&lt;=TODAY(),P8&lt;1)</formula>
    </cfRule>
  </conditionalFormatting>
  <conditionalFormatting sqref="P8">
    <cfRule type="dataBar" priority="9">
      <dataBar>
        <cfvo type="num" val="0"/>
        <cfvo type="num" val="1"/>
        <color rgb="FF9AC7F0"/>
      </dataBar>
      <extLst>
        <ext xmlns:x14="http://schemas.microsoft.com/office/spreadsheetml/2009/9/main" uri="{B025F937-C7B1-47D3-B67F-A62EFF666E3E}">
          <x14:id>{6918CED4-9FF2-4D3C-B2BB-C719129E6C3B}</x14:id>
        </ext>
      </extLst>
    </cfRule>
  </conditionalFormatting>
  <conditionalFormatting sqref="O8">
    <cfRule type="dataBar" priority="8">
      <dataBar>
        <cfvo type="num" val="0"/>
        <cfvo type="num" val="1"/>
        <color rgb="FF9AC7F0"/>
      </dataBar>
      <extLst>
        <ext xmlns:x14="http://schemas.microsoft.com/office/spreadsheetml/2009/9/main" uri="{B025F937-C7B1-47D3-B67F-A62EFF666E3E}">
          <x14:id>{BA2BB65F-BD41-43D2-A9EA-89EA74CEA66B}</x14:id>
        </ext>
      </extLst>
    </cfRule>
  </conditionalFormatting>
  <conditionalFormatting sqref="K8">
    <cfRule type="expression" priority="5">
      <formula>IF(M8="Done",TRUE,FALSE)</formula>
    </cfRule>
    <cfRule type="cellIs" dxfId="581" priority="6" operator="greaterThan">
      <formula>P8</formula>
    </cfRule>
    <cfRule type="dataBar" priority="7">
      <dataBar>
        <cfvo type="num" val="0"/>
        <cfvo type="num" val="1"/>
        <color rgb="FF9AC7F0"/>
      </dataBar>
      <extLst>
        <ext xmlns:x14="http://schemas.microsoft.com/office/spreadsheetml/2009/9/main" uri="{B025F937-C7B1-47D3-B67F-A62EFF666E3E}">
          <x14:id>{7427CF3F-C30E-4257-9B1A-9A64529B8D11}</x14:id>
        </ext>
      </extLst>
    </cfRule>
  </conditionalFormatting>
  <conditionalFormatting sqref="M8">
    <cfRule type="cellIs" dxfId="580" priority="2" operator="lessThan">
      <formula>0</formula>
    </cfRule>
    <cfRule type="cellIs" dxfId="579" priority="3" operator="lessThan">
      <formula>S8</formula>
    </cfRule>
    <cfRule type="cellIs" dxfId="578" priority="4" operator="lessThan">
      <formula>5</formula>
    </cfRule>
  </conditionalFormatting>
  <conditionalFormatting sqref="M8">
    <cfRule type="cellIs" dxfId="577" priority="1" operator="equal">
      <formula>"Done"</formula>
    </cfRule>
  </conditionalFormatting>
  <dataValidations count="1">
    <dataValidation allowBlank="1" showInputMessage="1" showErrorMessage="1" sqref="F8 O8:P8" xr:uid="{1CAC3329-DA0A-4013-81F8-72CC292B6258}"/>
  </dataValidations>
  <pageMargins left="0.7" right="0.7" top="0.78740157499999996" bottom="0.78740157499999996"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B191E637-8AE9-46F3-B71C-8452A1B66212}">
            <x14:dataBar minLength="0" maxLength="100" gradient="0">
              <x14:cfvo type="num">
                <xm:f>0</xm:f>
              </x14:cfvo>
              <x14:cfvo type="num">
                <xm:f>1</xm:f>
              </x14:cfvo>
              <x14:negativeFillColor rgb="FFFF0000"/>
              <x14:axisColor rgb="FF000000"/>
            </x14:dataBar>
          </x14:cfRule>
          <xm:sqref>T3:T5</xm:sqref>
        </x14:conditionalFormatting>
        <x14:conditionalFormatting xmlns:xm="http://schemas.microsoft.com/office/excel/2006/main">
          <x14:cfRule type="dataBar" id="{6918CED4-9FF2-4D3C-B2BB-C719129E6C3B}">
            <x14:dataBar minLength="0" maxLength="100" gradient="0">
              <x14:cfvo type="num">
                <xm:f>0</xm:f>
              </x14:cfvo>
              <x14:cfvo type="num">
                <xm:f>1</xm:f>
              </x14:cfvo>
              <x14:negativeFillColor rgb="FFFF0000"/>
              <x14:axisColor rgb="FF000000"/>
            </x14:dataBar>
          </x14:cfRule>
          <xm:sqref>P8</xm:sqref>
        </x14:conditionalFormatting>
        <x14:conditionalFormatting xmlns:xm="http://schemas.microsoft.com/office/excel/2006/main">
          <x14:cfRule type="dataBar" id="{BA2BB65F-BD41-43D2-A9EA-89EA74CEA66B}">
            <x14:dataBar minLength="0" maxLength="100" gradient="0">
              <x14:cfvo type="num">
                <xm:f>0</xm:f>
              </x14:cfvo>
              <x14:cfvo type="num">
                <xm:f>1</xm:f>
              </x14:cfvo>
              <x14:negativeFillColor rgb="FFFF0000"/>
              <x14:axisColor rgb="FF000000"/>
            </x14:dataBar>
          </x14:cfRule>
          <xm:sqref>O8</xm:sqref>
        </x14:conditionalFormatting>
        <x14:conditionalFormatting xmlns:xm="http://schemas.microsoft.com/office/excel/2006/main">
          <x14:cfRule type="dataBar" id="{7427CF3F-C30E-4257-9B1A-9A64529B8D11}">
            <x14:dataBar minLength="0" maxLength="100" gradient="0">
              <x14:cfvo type="num">
                <xm:f>0</xm:f>
              </x14:cfvo>
              <x14:cfvo type="num">
                <xm:f>1</xm:f>
              </x14:cfvo>
              <x14:negativeFillColor rgb="FFFF0000"/>
              <x14:axisColor rgb="FF000000"/>
            </x14:dataBar>
          </x14:cfRule>
          <xm:sqref>K8</xm:sqref>
        </x14:conditionalFormatting>
        <x14:conditionalFormatting xmlns:xm="http://schemas.microsoft.com/office/excel/2006/main">
          <x14:cfRule type="cellIs" priority="76" operator="lessThan" id="{6E5F0305-0006-44B1-981F-FE9CF2A90415}">
            <xm:f>(1-Projekteinstellungen!$K$9)*$R$4</xm:f>
            <x14:dxf>
              <fill>
                <patternFill patternType="solid">
                  <fgColor auto="1"/>
                  <bgColor rgb="FFFFD966"/>
                </patternFill>
              </fill>
            </x14:dxf>
          </x14:cfRule>
          <x14:cfRule type="cellIs" priority="77" operator="greaterThan" id="{EA2ABA23-7CF8-42EA-895A-203D997A78F7}">
            <xm:f>(1+Projekteinstellungen!$K$9)*$R$4</xm:f>
            <x14:dxf>
              <fill>
                <patternFill patternType="solid">
                  <fgColor auto="1"/>
                  <bgColor rgb="FFF55F5F"/>
                </patternFill>
              </fill>
            </x14:dxf>
          </x14:cfRule>
          <xm:sqref>R5</xm:sqref>
        </x14:conditionalFormatting>
        <x14:conditionalFormatting xmlns:xm="http://schemas.microsoft.com/office/excel/2006/main">
          <x14:cfRule type="cellIs" priority="89" operator="greaterThanOrEqual" id="{4FCB65F5-2859-4782-BDE6-A582862A8262}">
            <xm:f>Projekteinstellungen!$C$9</xm:f>
            <x14:dxf>
              <fill>
                <patternFill patternType="solid">
                  <fgColor auto="1"/>
                  <bgColor rgb="FFF55F5F"/>
                </patternFill>
              </fill>
            </x14:dxf>
          </x14:cfRule>
          <xm:sqref>W3:W4</xm:sqref>
        </x14:conditionalFormatting>
        <x14:conditionalFormatting xmlns:xm="http://schemas.microsoft.com/office/excel/2006/main">
          <x14:cfRule type="cellIs" priority="75" operator="greaterThan" id="{B8466166-5E9F-4C8F-A7C6-6F3C24B30B27}">
            <xm:f>(1+Projekteinstellungen!$K$9)*$S$4</xm:f>
            <x14:dxf>
              <fill>
                <patternFill patternType="solid">
                  <fgColor auto="1"/>
                  <bgColor rgb="FFF55F5F"/>
                </patternFill>
              </fill>
            </x14:dxf>
          </x14:cfRule>
          <xm:sqref>S5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A20DAA78-0764-4492-91C1-7FC3B5E11C29}">
          <x14:formula1>
            <xm:f>Projekteinstellungen!$B$37:$B$57</xm:f>
          </x14:formula1>
          <xm:sqref>N4 N8</xm:sqref>
        </x14:dataValidation>
        <x14:dataValidation type="list" allowBlank="1" showInputMessage="1" showErrorMessage="1" xr:uid="{CA64EB57-D8B4-4FCB-BA39-FF4485B730D7}">
          <x14:formula1>
            <xm:f>Projekteinstellungen!$B$32:$B$33</xm:f>
          </x14:formula1>
          <xm:sqref>E8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7D7E7-19B5-4890-89B1-61061C5C010C}">
  <sheetPr codeName="Tabelle12">
    <outlinePr summaryBelow="0"/>
  </sheetPr>
  <dimension ref="A1:AC31"/>
  <sheetViews>
    <sheetView zoomScale="85" zoomScaleNormal="85" workbookViewId="0">
      <pane ySplit="6" topLeftCell="A7" activePane="bottomLeft" state="frozen"/>
      <selection pane="bottomLeft" activeCell="D1" sqref="D1"/>
    </sheetView>
  </sheetViews>
  <sheetFormatPr baseColWidth="10" defaultRowHeight="15" customHeight="1" outlineLevelRow="1" outlineLevelCol="1"/>
  <cols>
    <col min="1" max="1" width="2.7109375" style="267" customWidth="1"/>
    <col min="2" max="2" width="2" style="11" customWidth="1"/>
    <col min="3" max="3" width="1" style="11" customWidth="1"/>
    <col min="4" max="4" width="7.28515625" style="11" customWidth="1" collapsed="1"/>
    <col min="5" max="5" width="8.140625" style="11" hidden="1" customWidth="1" outlineLevel="1"/>
    <col min="6" max="6" width="39.42578125" style="11" customWidth="1" collapsed="1"/>
    <col min="7" max="7" width="39.42578125" style="11" customWidth="1"/>
    <col min="8" max="8" width="33.140625" style="11" customWidth="1"/>
    <col min="9" max="9" width="2.5703125" style="17" hidden="1" customWidth="1" outlineLevel="1"/>
    <col min="10" max="10" width="12.85546875" style="146" hidden="1" customWidth="1" outlineLevel="1"/>
    <col min="11" max="11" width="13.7109375" style="11" hidden="1" customWidth="1" outlineLevel="1"/>
    <col min="12" max="12" width="12.85546875" style="17" customWidth="1" collapsed="1"/>
    <col min="13" max="13" width="12.7109375" style="11" customWidth="1"/>
    <col min="14" max="14" width="11.7109375" style="11" customWidth="1" collapsed="1"/>
    <col min="15" max="15" width="13.7109375" style="11" hidden="1" customWidth="1" outlineLevel="1"/>
    <col min="16" max="16" width="13.7109375" style="11" customWidth="1" collapsed="1"/>
    <col min="17" max="17" width="7.7109375" style="11" customWidth="1"/>
    <col min="18" max="20" width="11.7109375" style="11" customWidth="1"/>
    <col min="21" max="21" width="5" style="11" customWidth="1"/>
    <col min="22" max="23" width="9.42578125" style="11" customWidth="1"/>
    <col min="24" max="24" width="14.85546875" style="17" hidden="1" customWidth="1"/>
    <col min="25" max="25" width="11.42578125" style="17" hidden="1" customWidth="1"/>
    <col min="26" max="28" width="11.42578125" style="11" hidden="1" customWidth="1"/>
    <col min="29" max="16384" width="11.42578125" style="11"/>
  </cols>
  <sheetData>
    <row r="1" spans="1:29" s="12" customFormat="1" ht="29.45" customHeight="1">
      <c r="A1" s="431" t="s">
        <v>131</v>
      </c>
      <c r="B1" s="94"/>
      <c r="D1" s="9" t="s">
        <v>347</v>
      </c>
      <c r="E1" s="10" t="s">
        <v>137</v>
      </c>
      <c r="F1" s="10" t="s">
        <v>163</v>
      </c>
      <c r="G1" s="10" t="s">
        <v>39</v>
      </c>
      <c r="H1" s="10" t="s">
        <v>19</v>
      </c>
      <c r="I1" s="447" t="s">
        <v>164</v>
      </c>
      <c r="J1" s="448"/>
      <c r="K1" s="448"/>
      <c r="L1" s="448"/>
      <c r="M1" s="449"/>
      <c r="N1" s="10" t="s">
        <v>20</v>
      </c>
      <c r="O1" s="448" t="s">
        <v>13</v>
      </c>
      <c r="P1" s="449"/>
      <c r="Q1" s="117"/>
      <c r="R1" s="447" t="s">
        <v>134</v>
      </c>
      <c r="S1" s="449"/>
      <c r="T1" s="119"/>
      <c r="U1" s="118"/>
      <c r="V1" s="447" t="s">
        <v>14</v>
      </c>
      <c r="W1" s="448"/>
      <c r="X1" s="443" t="s">
        <v>47</v>
      </c>
      <c r="Y1" s="443"/>
      <c r="Z1" s="443" t="s">
        <v>100</v>
      </c>
      <c r="AA1" s="443"/>
      <c r="AB1" s="443"/>
      <c r="AC1" s="97"/>
    </row>
    <row r="2" spans="1:29" ht="17.25" customHeight="1" collapsed="1">
      <c r="A2" s="446"/>
      <c r="B2" s="94"/>
      <c r="D2" s="175"/>
      <c r="E2" s="176"/>
      <c r="F2" s="176"/>
      <c r="G2" s="176"/>
      <c r="H2" s="132"/>
      <c r="I2" s="124" t="s">
        <v>142</v>
      </c>
      <c r="J2" s="177" t="s">
        <v>141</v>
      </c>
      <c r="K2" s="178"/>
      <c r="L2" s="177" t="s">
        <v>38</v>
      </c>
      <c r="M2" s="124" t="s">
        <v>88</v>
      </c>
      <c r="N2" s="124"/>
      <c r="O2" s="124" t="s">
        <v>127</v>
      </c>
      <c r="P2" s="124" t="s">
        <v>151</v>
      </c>
      <c r="Q2" s="126"/>
      <c r="R2" s="127" t="s">
        <v>11</v>
      </c>
      <c r="S2" s="127" t="s">
        <v>12</v>
      </c>
      <c r="T2" s="127" t="s">
        <v>13</v>
      </c>
      <c r="U2" s="150"/>
      <c r="V2" s="444"/>
      <c r="W2" s="445"/>
      <c r="X2" s="16" t="s">
        <v>11</v>
      </c>
      <c r="Y2" s="17" t="s">
        <v>48</v>
      </c>
      <c r="Z2" s="17" t="str">
        <f>Pos_Hilfstabelle!$B$125</f>
        <v>on track</v>
      </c>
      <c r="AA2" s="17" t="str">
        <f>Pos_Hilfstabelle!$B$126</f>
        <v>critical</v>
      </c>
      <c r="AB2" s="17" t="str">
        <f>Pos_Hilfstabelle!$B$127</f>
        <v>overdue</v>
      </c>
    </row>
    <row r="3" spans="1:29" ht="19.5" hidden="1" customHeight="1" outlineLevel="1">
      <c r="A3" s="446"/>
      <c r="B3" s="94"/>
      <c r="D3" s="147"/>
      <c r="E3" s="147"/>
      <c r="F3" s="148"/>
      <c r="G3" s="148"/>
      <c r="H3" s="261"/>
      <c r="I3" s="259"/>
      <c r="J3" s="258"/>
      <c r="K3" s="237"/>
      <c r="L3" s="258"/>
      <c r="M3" s="237" t="str">
        <f ca="1">IF(ISBLANK(L3),"",NETWORKDAYS(TODAY(),L3))</f>
        <v/>
      </c>
      <c r="N3" s="256"/>
      <c r="O3" s="236"/>
      <c r="P3" s="236"/>
      <c r="Q3" s="130" t="s">
        <v>67</v>
      </c>
      <c r="R3" s="151">
        <f>IF(OR($J$3="",$L$3=""),0,NETWORKDAYS($J$3,$L$3))</f>
        <v>0</v>
      </c>
      <c r="S3" s="151">
        <f ca="1">IF(OR($J$3="",$L$3=""),0,NETWORKDAYS(TODAY(),$L$3))</f>
        <v>0</v>
      </c>
      <c r="T3" s="152">
        <f>IF(R3=0,0,(R3-S3)/R3)</f>
        <v>0</v>
      </c>
      <c r="U3" s="149"/>
      <c r="V3" s="61">
        <f ca="1">IFERROR(($R$3-$S$3)-($R$5-$S$5)*($R$3/$R$5),0)</f>
        <v>0</v>
      </c>
      <c r="W3" s="62" t="str">
        <f>IF($R$3=0,"",$V$3/$R$3)</f>
        <v/>
      </c>
      <c r="X3" s="17">
        <v>0</v>
      </c>
      <c r="Y3" s="17">
        <v>0</v>
      </c>
      <c r="Z3" s="17">
        <f ca="1">COUNTIF($Z$8:$Z$20,Pos_Hilfstabelle!$B$125)</f>
        <v>0</v>
      </c>
      <c r="AA3" s="17">
        <f ca="1">COUNTIF($Z$8:$Z$20,Pos_Hilfstabelle!$B$126)</f>
        <v>0</v>
      </c>
      <c r="AB3" s="17">
        <f ca="1">COUNTIF($Z$8:$Z$20,Pos_Hilfstabelle!$B$127)</f>
        <v>0</v>
      </c>
    </row>
    <row r="4" spans="1:29" ht="19.5" customHeight="1">
      <c r="A4" s="446"/>
      <c r="B4" s="94"/>
      <c r="G4" s="123"/>
      <c r="H4" s="260"/>
      <c r="L4" s="121"/>
      <c r="N4" s="257"/>
      <c r="Q4" s="130" t="s">
        <v>3</v>
      </c>
      <c r="R4" s="61">
        <f>Projekteinstellungen!$B$21*992</f>
        <v>992</v>
      </c>
      <c r="S4" s="61">
        <f>SUM($S$8,$S$13,$S$18)</f>
        <v>655.75</v>
      </c>
      <c r="T4" s="152">
        <f>IF(R4=0,0,(R4-S4)/R4)</f>
        <v>0.33896169354838712</v>
      </c>
      <c r="U4" s="131"/>
      <c r="V4" s="61">
        <f>($R$4-$S$4)-($R$5-$S$5)</f>
        <v>336.25</v>
      </c>
      <c r="W4" s="62">
        <f>IF($R$4=0,"",$V$4/$R$4)</f>
        <v>0.33896169354838712</v>
      </c>
      <c r="X4" s="17">
        <f>Projekteinstellungen!$B$21*992</f>
        <v>992</v>
      </c>
    </row>
    <row r="5" spans="1:29" ht="19.5" customHeight="1" thickBot="1">
      <c r="A5" s="266"/>
      <c r="B5" s="94"/>
      <c r="G5" s="123"/>
      <c r="L5" s="121"/>
      <c r="M5" s="122"/>
      <c r="Q5" s="128" t="s">
        <v>136</v>
      </c>
      <c r="R5" s="129">
        <f>SUM($R$10,$R$15,$R$20)</f>
        <v>0</v>
      </c>
      <c r="S5" s="129">
        <f>SUM($S$10,$S$15,$S$20)</f>
        <v>0</v>
      </c>
      <c r="T5" s="144">
        <f>IF(R5=0,0,(R5-S5)/R5)</f>
        <v>0</v>
      </c>
      <c r="U5" s="131"/>
      <c r="V5" s="125"/>
      <c r="W5" s="120"/>
      <c r="Z5" s="17"/>
      <c r="AA5" s="17"/>
      <c r="AB5" s="17"/>
    </row>
    <row r="6" spans="1:29" ht="15" customHeight="1">
      <c r="V6" s="71"/>
      <c r="W6" s="70"/>
      <c r="Z6" s="17"/>
    </row>
    <row r="7" spans="1:29" ht="15" customHeight="1" thickBot="1">
      <c r="V7" s="71"/>
      <c r="W7" s="70"/>
      <c r="Z7" s="17"/>
    </row>
    <row r="8" spans="1:29" ht="18" customHeight="1" thickBot="1">
      <c r="C8" s="192"/>
      <c r="D8" s="249" t="s">
        <v>338</v>
      </c>
      <c r="E8" s="249"/>
      <c r="F8" s="250" t="s">
        <v>339</v>
      </c>
      <c r="G8" s="251"/>
      <c r="H8" s="244"/>
      <c r="I8" s="244"/>
      <c r="J8" s="245"/>
      <c r="K8" s="246" t="str">
        <f ca="1">IF(OR(J8="",L8=""),"",IF(NETWORKDAYS(J8,TODAY())/NETWORKDAYS(J8,L8)&gt;1,1,NETWORKDAYS(J8,TODAY())/NETWORKDAYS(J8,L8)))</f>
        <v/>
      </c>
      <c r="L8" s="245"/>
      <c r="M8" s="247" t="str">
        <f ca="1">IF(T21&gt;=1,"Done",IF(ISBLANK(L8),"",NETWORKDAYS(TODAY(),L8)))</f>
        <v/>
      </c>
      <c r="N8" s="253"/>
      <c r="O8" s="253"/>
      <c r="P8" s="253"/>
      <c r="Q8" s="209" t="s">
        <v>3</v>
      </c>
      <c r="R8" s="208">
        <f>Projekteinstellungen!$B$21*512</f>
        <v>512</v>
      </c>
      <c r="S8" s="208">
        <f>$R$8-Projekteinstellungen!$B$21*324.25</f>
        <v>187.75</v>
      </c>
      <c r="T8" s="206">
        <f>IF(R8=0,0,(R8-S8)/R8)</f>
        <v>0.63330078125</v>
      </c>
      <c r="U8" s="205"/>
      <c r="V8" s="199">
        <f>($R$8-$S$8)-($R$21-$S$21)</f>
        <v>324.25</v>
      </c>
      <c r="W8" s="200">
        <f>IF($R$8=0,"",$V$8/$R$8)</f>
        <v>0.63330078125</v>
      </c>
      <c r="X8" s="17">
        <f>Projekteinstellungen!$B$21*512</f>
        <v>512</v>
      </c>
      <c r="Y8" s="17">
        <f>Projekteinstellungen!$B$21*342.75</f>
        <v>342.75</v>
      </c>
      <c r="Z8" s="66" t="str">
        <f ca="1">IF(M8="","tbd",IF(M8="Done","",IF(M8&lt;0,Pos_Hilfstabelle!$B$127,IF(M8-S8&lt;0,Pos_Hilfstabelle!$B$126,Pos_Hilfstabelle!$B$125))))</f>
        <v>tbd</v>
      </c>
    </row>
    <row r="9" spans="1:29" ht="15" customHeight="1" outlineLevel="1" thickBot="1">
      <c r="C9" s="203"/>
      <c r="E9" s="298"/>
      <c r="F9" s="217"/>
      <c r="G9" s="217"/>
      <c r="H9" s="217"/>
      <c r="I9" s="218"/>
      <c r="J9" s="219"/>
      <c r="K9" s="240">
        <f ca="1">IF(OR(J9="",L9=""),0,IF(NETWORKDAYS(J9,TODAY())/NETWORKDAYS(J9,L9)&gt;1,1,NETWORKDAYS(J9,TODAY())/NETWORKDAYS(J9,L9)))</f>
        <v>0</v>
      </c>
      <c r="L9" s="220"/>
      <c r="M9" s="263" t="str">
        <f ca="1">IF(P9&gt;=1,"Done",IF(ISBLANK(L9),"",NETWORKDAYS(TODAY(),L9)))</f>
        <v/>
      </c>
      <c r="N9" s="215"/>
      <c r="O9" s="230">
        <v>0</v>
      </c>
      <c r="P9" s="230">
        <v>0</v>
      </c>
      <c r="Q9" s="299"/>
      <c r="R9" s="228">
        <v>0</v>
      </c>
      <c r="S9" s="228">
        <f>R9/(1-O9)*(1-P9)</f>
        <v>0</v>
      </c>
      <c r="V9" s="71"/>
      <c r="W9" s="70"/>
      <c r="X9" s="17">
        <v>0</v>
      </c>
      <c r="Y9" s="17">
        <v>0</v>
      </c>
      <c r="Z9" s="66" t="str">
        <f ca="1">IF(M9="","tbd",IF(M9="Done","",IF(M9&lt;0,Pos_Hilfstabelle!$B$127,IF(M9-S9&lt;0,Pos_Hilfstabelle!$B$126,Pos_Hilfstabelle!$B$125))))</f>
        <v>tbd</v>
      </c>
    </row>
    <row r="10" spans="1:29" ht="18" customHeight="1" thickBot="1">
      <c r="C10" s="202"/>
      <c r="O10" s="145"/>
      <c r="Q10" s="207" t="s">
        <v>136</v>
      </c>
      <c r="R10" s="208">
        <f>SUM(R9:R9)</f>
        <v>0</v>
      </c>
      <c r="S10" s="208">
        <f>IF(R10&lt;&gt;0,SUM(S9:S9),SUM(S9:S9))</f>
        <v>0</v>
      </c>
      <c r="T10" s="206">
        <f>IF(R10=0,0,(R10-S10)/R10)</f>
        <v>0</v>
      </c>
    </row>
    <row r="11" spans="1:29" ht="15" customHeight="1">
      <c r="R11" s="96"/>
      <c r="S11" s="96"/>
    </row>
    <row r="12" spans="1:29" ht="15" customHeight="1" thickBot="1"/>
    <row r="13" spans="1:29" ht="18" customHeight="1" thickBot="1">
      <c r="C13" s="192"/>
      <c r="D13" s="249" t="s">
        <v>340</v>
      </c>
      <c r="E13" s="249"/>
      <c r="F13" s="250" t="s">
        <v>341</v>
      </c>
      <c r="G13" s="251"/>
      <c r="H13" s="244" t="s">
        <v>298</v>
      </c>
      <c r="I13" s="244"/>
      <c r="J13" s="245"/>
      <c r="K13" s="246" t="str">
        <f ca="1">IF(OR(J13="",L13=""),"",IF(NETWORKDAYS(J13,TODAY())/NETWORKDAYS(J13,L13)&gt;1,1,NETWORKDAYS(J13,TODAY())/NETWORKDAYS(J13,L13)))</f>
        <v/>
      </c>
      <c r="L13" s="245"/>
      <c r="M13" s="247" t="str">
        <f ca="1">IF(T15&gt;=1,"Done",IF(ISBLANK(L13),"",NETWORKDAYS(TODAY(),L13)))</f>
        <v/>
      </c>
      <c r="N13" s="253"/>
      <c r="O13" s="253"/>
      <c r="P13" s="253"/>
      <c r="Q13" s="209" t="s">
        <v>3</v>
      </c>
      <c r="R13" s="208">
        <f>Projekteinstellungen!$B$21*464</f>
        <v>464</v>
      </c>
      <c r="S13" s="208">
        <f>$R$13-Projekteinstellungen!$B$21*0</f>
        <v>464</v>
      </c>
      <c r="T13" s="206">
        <f>IF(R13=0,0,(R13-S13)/R13)</f>
        <v>0</v>
      </c>
      <c r="U13" s="205"/>
      <c r="V13" s="199">
        <f>(R13-S13)-(R15-S15)</f>
        <v>0</v>
      </c>
      <c r="W13" s="200">
        <f>IF(R13=0,"",V13/R13)</f>
        <v>0</v>
      </c>
      <c r="X13" s="17">
        <f>Projekteinstellungen!$B$21*464</f>
        <v>464</v>
      </c>
      <c r="Y13" s="17">
        <f>Projekteinstellungen!$B$21*0</f>
        <v>0</v>
      </c>
      <c r="Z13" s="66" t="str">
        <f ca="1">IF(M13="","tbd",IF(M13="Done","",IF(M13&lt;0,Pos_Hilfstabelle!$B$127,IF(M13-S13&lt;0,Pos_Hilfstabelle!$B$126,Pos_Hilfstabelle!$B$125))))</f>
        <v>tbd</v>
      </c>
    </row>
    <row r="14" spans="1:29" ht="15" customHeight="1" outlineLevel="1" thickBot="1">
      <c r="C14" s="203"/>
      <c r="D14" s="210"/>
      <c r="E14" s="211"/>
      <c r="F14" s="221"/>
      <c r="G14" s="221"/>
      <c r="H14" s="221"/>
      <c r="I14" s="218"/>
      <c r="J14" s="222"/>
      <c r="K14" s="239">
        <f ca="1">IF(OR(J14="",L14=""),0,IF(NETWORKDAYS(J14,TODAY())/NETWORKDAYS(J14,L14)&gt;1,1,NETWORKDAYS(J14,TODAY())/NETWORKDAYS(J14,L14)))</f>
        <v>0</v>
      </c>
      <c r="L14" s="223"/>
      <c r="M14" s="262" t="str">
        <f ca="1">IF(P14&gt;=1,"Done",IF(ISBLANK(L14),"",NETWORKDAYS(TODAY(),L14)))</f>
        <v/>
      </c>
      <c r="N14" s="213"/>
      <c r="O14" s="229">
        <v>0</v>
      </c>
      <c r="P14" s="229">
        <v>0</v>
      </c>
      <c r="Q14" s="224"/>
      <c r="R14" s="225">
        <v>0</v>
      </c>
      <c r="S14" s="225">
        <f>R14/(1-O14)*(1-P14)</f>
        <v>0</v>
      </c>
      <c r="T14" s="66"/>
      <c r="U14" s="66"/>
      <c r="V14" s="71"/>
      <c r="W14" s="95"/>
      <c r="Z14" s="66" t="str">
        <f ca="1">IF(M14="","tbd",IF(M14="Done","",IF(M14&lt;0,Pos_Hilfstabelle!$B$127,IF(M14-S14&lt;0,Pos_Hilfstabelle!$B$126,Pos_Hilfstabelle!$B$125))))</f>
        <v>tbd</v>
      </c>
    </row>
    <row r="15" spans="1:29" ht="18" customHeight="1" thickBot="1">
      <c r="C15" s="202"/>
      <c r="H15" s="11" t="s">
        <v>298</v>
      </c>
      <c r="O15" s="145"/>
      <c r="Q15" s="207" t="s">
        <v>136</v>
      </c>
      <c r="R15" s="208">
        <f>SUM(R14:R14)</f>
        <v>0</v>
      </c>
      <c r="S15" s="208">
        <f>IF(R15&lt;&gt;0,SUM(S14:S14),SUM(S14:S14))</f>
        <v>0</v>
      </c>
      <c r="T15" s="206">
        <f>IF(R15=0,0,(R15-S15)/R15)</f>
        <v>0</v>
      </c>
    </row>
    <row r="16" spans="1:29" ht="15" customHeight="1">
      <c r="R16" s="96"/>
      <c r="S16" s="96"/>
    </row>
    <row r="17" spans="3:26" ht="15" customHeight="1" thickBot="1"/>
    <row r="18" spans="3:26" ht="18" customHeight="1" thickBot="1">
      <c r="C18" s="192"/>
      <c r="D18" s="249" t="s">
        <v>342</v>
      </c>
      <c r="E18" s="249"/>
      <c r="F18" s="250" t="s">
        <v>343</v>
      </c>
      <c r="G18" s="251"/>
      <c r="H18" s="244"/>
      <c r="I18" s="244"/>
      <c r="J18" s="245"/>
      <c r="K18" s="246" t="str">
        <f ca="1">IF(OR(J18="",L18=""),"",IF(NETWORKDAYS(J18,TODAY())/NETWORKDAYS(J18,L18)&gt;1,1,NETWORKDAYS(J18,TODAY())/NETWORKDAYS(J18,L18)))</f>
        <v/>
      </c>
      <c r="L18" s="245"/>
      <c r="M18" s="247" t="str">
        <f ca="1">IF(T20&gt;=1,"Done",IF(ISBLANK(L18),"",NETWORKDAYS(TODAY(),L18)))</f>
        <v/>
      </c>
      <c r="N18" s="253"/>
      <c r="O18" s="253"/>
      <c r="P18" s="253"/>
      <c r="Q18" s="209" t="s">
        <v>3</v>
      </c>
      <c r="R18" s="208">
        <f>Projekteinstellungen!$B$21*16</f>
        <v>16</v>
      </c>
      <c r="S18" s="208">
        <f>$R$18-Projekteinstellungen!$B$21*12</f>
        <v>4</v>
      </c>
      <c r="T18" s="206">
        <f>IF(R18=0,0,(R18-S18)/R18)</f>
        <v>0.75</v>
      </c>
      <c r="U18" s="205"/>
      <c r="V18" s="199">
        <f>(R18-S18)-(R20-S20)</f>
        <v>12</v>
      </c>
      <c r="W18" s="200">
        <f>IF(R18=0,"",V18/R18)</f>
        <v>0.75</v>
      </c>
      <c r="X18" s="17">
        <f>Projekteinstellungen!$B$21*16</f>
        <v>16</v>
      </c>
      <c r="Y18" s="17">
        <f>Projekteinstellungen!$B$21*12</f>
        <v>12</v>
      </c>
      <c r="Z18" s="66" t="str">
        <f ca="1">IF(M18="","tbd",IF(M18="Done","",IF(M18&lt;0,Pos_Hilfstabelle!$B$127,IF(M18-S18&lt;0,Pos_Hilfstabelle!$B$126,Pos_Hilfstabelle!$B$125))))</f>
        <v>tbd</v>
      </c>
    </row>
    <row r="19" spans="3:26" ht="15" customHeight="1" outlineLevel="1" thickBot="1">
      <c r="C19" s="203"/>
      <c r="D19" s="210"/>
      <c r="E19" s="211"/>
      <c r="F19" s="221"/>
      <c r="G19" s="221"/>
      <c r="H19" s="221"/>
      <c r="I19" s="218"/>
      <c r="J19" s="222"/>
      <c r="K19" s="239">
        <f ca="1">IF(OR(J19="",L19=""),0,IF(NETWORKDAYS(J19,TODAY())/NETWORKDAYS(J19,L19)&gt;1,1,NETWORKDAYS(J19,TODAY())/NETWORKDAYS(J19,L19)))</f>
        <v>0</v>
      </c>
      <c r="L19" s="223"/>
      <c r="M19" s="262" t="str">
        <f ca="1">IF(P19&gt;=1,"Done",IF(ISBLANK(L19),"",NETWORKDAYS(TODAY(),L19)))</f>
        <v/>
      </c>
      <c r="N19" s="213"/>
      <c r="O19" s="229">
        <v>0</v>
      </c>
      <c r="P19" s="229">
        <v>0</v>
      </c>
      <c r="Q19" s="224"/>
      <c r="R19" s="225">
        <v>0</v>
      </c>
      <c r="S19" s="225">
        <f>R19/(1-O19)*(1-P19)</f>
        <v>0</v>
      </c>
      <c r="T19" s="66"/>
      <c r="U19" s="66"/>
      <c r="V19" s="71"/>
      <c r="W19" s="95"/>
      <c r="Z19" s="66" t="str">
        <f ca="1">IF(M19="","tbd",IF(M19="Done","",IF(M19&lt;0,Pos_Hilfstabelle!$B$127,IF(M19-S19&lt;0,Pos_Hilfstabelle!$B$126,Pos_Hilfstabelle!$B$125))))</f>
        <v>tbd</v>
      </c>
    </row>
    <row r="20" spans="3:26" ht="18" customHeight="1" thickBot="1">
      <c r="C20" s="202"/>
      <c r="O20" s="145"/>
      <c r="Q20" s="207" t="s">
        <v>136</v>
      </c>
      <c r="R20" s="208">
        <f>SUM(R19:R19)</f>
        <v>0</v>
      </c>
      <c r="S20" s="208">
        <f>IF(R20&lt;&gt;0,SUM(S19:S19),SUM(S19:S19))</f>
        <v>0</v>
      </c>
      <c r="T20" s="206">
        <f>IF(R20=0,0,(R20-S20)/R20)</f>
        <v>0</v>
      </c>
    </row>
    <row r="21" spans="3:26" ht="15" customHeight="1">
      <c r="R21" s="96"/>
      <c r="S21" s="96"/>
      <c r="X21" s="17" t="s">
        <v>2</v>
      </c>
    </row>
    <row r="22" spans="3:26" ht="15" customHeight="1">
      <c r="R22" s="96"/>
      <c r="S22" s="96"/>
    </row>
    <row r="23" spans="3:26" ht="15" customHeight="1">
      <c r="R23" s="96"/>
      <c r="S23" s="96"/>
    </row>
    <row r="24" spans="3:26" ht="15" customHeight="1">
      <c r="R24" s="96"/>
      <c r="S24" s="96"/>
    </row>
    <row r="25" spans="3:26" ht="15" customHeight="1">
      <c r="G25" s="297"/>
      <c r="H25" s="297"/>
      <c r="I25" s="297"/>
      <c r="J25" s="297"/>
      <c r="K25" s="297"/>
      <c r="L25" s="297"/>
      <c r="M25" s="297"/>
      <c r="N25" s="297"/>
      <c r="O25" s="297"/>
      <c r="P25" s="297"/>
    </row>
    <row r="26" spans="3:26" ht="15" customHeight="1">
      <c r="G26" s="297"/>
      <c r="H26" s="297"/>
      <c r="I26" s="297"/>
      <c r="J26" s="297"/>
      <c r="K26" s="297"/>
      <c r="L26" s="297"/>
      <c r="M26" s="297"/>
      <c r="N26" s="297"/>
      <c r="O26" s="297"/>
      <c r="P26" s="297"/>
      <c r="R26" s="96"/>
    </row>
    <row r="27" spans="3:26" ht="15" customHeight="1">
      <c r="G27" s="297"/>
      <c r="H27" s="297"/>
      <c r="I27" s="297"/>
      <c r="J27" s="297"/>
      <c r="K27" s="297"/>
      <c r="L27" s="297"/>
      <c r="M27" s="297"/>
      <c r="N27" s="297"/>
      <c r="O27" s="297"/>
      <c r="P27" s="297"/>
    </row>
    <row r="28" spans="3:26" ht="15" customHeight="1">
      <c r="G28" s="297"/>
      <c r="H28" s="297"/>
      <c r="I28" s="297"/>
      <c r="J28" s="297"/>
      <c r="K28" s="297"/>
      <c r="L28" s="297"/>
      <c r="M28" s="297"/>
      <c r="N28" s="297"/>
      <c r="O28" s="297"/>
      <c r="P28" s="297"/>
    </row>
    <row r="29" spans="3:26" ht="15" customHeight="1">
      <c r="G29" s="297"/>
      <c r="H29" s="297"/>
      <c r="I29" s="297"/>
      <c r="J29" s="297"/>
      <c r="K29" s="297"/>
      <c r="L29" s="297"/>
      <c r="M29" s="297"/>
      <c r="N29" s="297"/>
      <c r="O29" s="297"/>
      <c r="P29" s="297"/>
    </row>
    <row r="30" spans="3:26" ht="15" customHeight="1">
      <c r="G30" s="297"/>
      <c r="H30" s="297"/>
      <c r="I30" s="297"/>
      <c r="J30" s="297"/>
      <c r="K30" s="297"/>
      <c r="L30" s="297"/>
      <c r="M30" s="297"/>
      <c r="N30" s="297"/>
      <c r="O30" s="297"/>
      <c r="P30" s="297"/>
    </row>
    <row r="31" spans="3:26" ht="15" customHeight="1">
      <c r="G31" s="297"/>
      <c r="H31" s="297"/>
      <c r="I31" s="297"/>
      <c r="J31" s="297"/>
      <c r="K31" s="297"/>
      <c r="L31" s="297"/>
      <c r="M31" s="297"/>
      <c r="N31" s="297"/>
      <c r="O31" s="297"/>
      <c r="P31" s="297"/>
    </row>
  </sheetData>
  <dataConsolidate/>
  <mergeCells count="8">
    <mergeCell ref="Z1:AB1"/>
    <mergeCell ref="V2:W2"/>
    <mergeCell ref="A1:A4"/>
    <mergeCell ref="I1:M1"/>
    <mergeCell ref="O1:P1"/>
    <mergeCell ref="R1:S1"/>
    <mergeCell ref="V1:W1"/>
    <mergeCell ref="X1:Y1"/>
  </mergeCells>
  <conditionalFormatting sqref="M5 M2:M3">
    <cfRule type="cellIs" dxfId="572" priority="179" operator="lessThan">
      <formula>0</formula>
    </cfRule>
    <cfRule type="cellIs" dxfId="571" priority="180" operator="lessThan">
      <formula>$S$4+#REF!</formula>
    </cfRule>
    <cfRule type="cellIs" dxfId="570" priority="181" operator="lessThan">
      <formula>5</formula>
    </cfRule>
  </conditionalFormatting>
  <conditionalFormatting sqref="T3:T5">
    <cfRule type="dataBar" priority="172">
      <dataBar>
        <cfvo type="num" val="0"/>
        <cfvo type="num" val="1"/>
        <color rgb="FF9AC7F0"/>
      </dataBar>
      <extLst>
        <ext xmlns:x14="http://schemas.microsoft.com/office/spreadsheetml/2009/9/main" uri="{B025F937-C7B1-47D3-B67F-A62EFF666E3E}">
          <x14:id>{BA8DD0A0-B732-4175-8705-FD6EE1A8F0F4}</x14:id>
        </ext>
      </extLst>
    </cfRule>
  </conditionalFormatting>
  <conditionalFormatting sqref="W3:W4">
    <cfRule type="containsBlanks" dxfId="569" priority="162">
      <formula>LEN(TRIM(W3))=0</formula>
    </cfRule>
    <cfRule type="cellIs" dxfId="568" priority="164" operator="greaterThan">
      <formula>0</formula>
    </cfRule>
    <cfRule type="cellIs" dxfId="567" priority="165" operator="lessThanOrEqual">
      <formula>0</formula>
    </cfRule>
  </conditionalFormatting>
  <conditionalFormatting sqref="S4">
    <cfRule type="cellIs" dxfId="566" priority="147" operator="lessThan">
      <formula>0</formula>
    </cfRule>
  </conditionalFormatting>
  <conditionalFormatting sqref="T4">
    <cfRule type="cellIs" dxfId="565" priority="146" operator="greaterThan">
      <formula>1</formula>
    </cfRule>
  </conditionalFormatting>
  <conditionalFormatting sqref="J3">
    <cfRule type="notContainsBlanks" dxfId="564" priority="126">
      <formula>LEN(TRIM(J3))&gt;0</formula>
    </cfRule>
  </conditionalFormatting>
  <conditionalFormatting sqref="L3">
    <cfRule type="notContainsBlanks" dxfId="563" priority="125">
      <formula>LEN(TRIM(L3))&gt;0</formula>
    </cfRule>
  </conditionalFormatting>
  <conditionalFormatting sqref="M3">
    <cfRule type="notContainsBlanks" dxfId="562" priority="124">
      <formula>LEN(TRIM(M3))&gt;0</formula>
    </cfRule>
  </conditionalFormatting>
  <conditionalFormatting sqref="I3">
    <cfRule type="expression" dxfId="561" priority="122">
      <formula>AND(J3&lt;&gt;"",J3&lt;=TODAY(),P3&lt;1)</formula>
    </cfRule>
  </conditionalFormatting>
  <conditionalFormatting sqref="H3">
    <cfRule type="expression" dxfId="560" priority="121">
      <formula>IF($H$4&lt;&gt;"",TRUE,FALSE)</formula>
    </cfRule>
  </conditionalFormatting>
  <conditionalFormatting sqref="H4">
    <cfRule type="notContainsBlanks" dxfId="559" priority="85">
      <formula>LEN(TRIM(H4))&gt;0</formula>
    </cfRule>
  </conditionalFormatting>
  <conditionalFormatting sqref="I9">
    <cfRule type="expression" dxfId="558" priority="84">
      <formula>AND(J9&lt;&gt;"",J9&lt;=TODAY(),P9&lt;1)</formula>
    </cfRule>
  </conditionalFormatting>
  <conditionalFormatting sqref="P9">
    <cfRule type="dataBar" priority="83">
      <dataBar>
        <cfvo type="num" val="0"/>
        <cfvo type="num" val="1"/>
        <color rgb="FF9AC7F0"/>
      </dataBar>
      <extLst>
        <ext xmlns:x14="http://schemas.microsoft.com/office/spreadsheetml/2009/9/main" uri="{B025F937-C7B1-47D3-B67F-A62EFF666E3E}">
          <x14:id>{BBD77EAE-8848-421D-8E08-DDD0AF5A2EFB}</x14:id>
        </ext>
      </extLst>
    </cfRule>
  </conditionalFormatting>
  <conditionalFormatting sqref="O9">
    <cfRule type="dataBar" priority="82">
      <dataBar>
        <cfvo type="num" val="0"/>
        <cfvo type="num" val="1"/>
        <color rgb="FF9AC7F0"/>
      </dataBar>
      <extLst>
        <ext xmlns:x14="http://schemas.microsoft.com/office/spreadsheetml/2009/9/main" uri="{B025F937-C7B1-47D3-B67F-A62EFF666E3E}">
          <x14:id>{6812AD5A-3DF4-4F80-99DE-7AAB79091B6A}</x14:id>
        </ext>
      </extLst>
    </cfRule>
  </conditionalFormatting>
  <conditionalFormatting sqref="K9">
    <cfRule type="expression" priority="79">
      <formula>IF(M9="Done",TRUE,FALSE)</formula>
    </cfRule>
    <cfRule type="cellIs" dxfId="557" priority="80" operator="greaterThan">
      <formula>P9</formula>
    </cfRule>
    <cfRule type="dataBar" priority="81">
      <dataBar>
        <cfvo type="num" val="0"/>
        <cfvo type="num" val="1"/>
        <color rgb="FF9AC7F0"/>
      </dataBar>
      <extLst>
        <ext xmlns:x14="http://schemas.microsoft.com/office/spreadsheetml/2009/9/main" uri="{B025F937-C7B1-47D3-B67F-A62EFF666E3E}">
          <x14:id>{4F7755C8-C370-4104-AF5A-EEA376FD4E40}</x14:id>
        </ext>
      </extLst>
    </cfRule>
  </conditionalFormatting>
  <conditionalFormatting sqref="M9">
    <cfRule type="cellIs" dxfId="556" priority="76" operator="lessThan">
      <formula>0</formula>
    </cfRule>
    <cfRule type="cellIs" dxfId="555" priority="77" operator="lessThan">
      <formula>S9</formula>
    </cfRule>
    <cfRule type="cellIs" dxfId="554" priority="78" operator="lessThan">
      <formula>5</formula>
    </cfRule>
  </conditionalFormatting>
  <conditionalFormatting sqref="M9">
    <cfRule type="cellIs" dxfId="553" priority="75" operator="equal">
      <formula>"Done"</formula>
    </cfRule>
  </conditionalFormatting>
  <conditionalFormatting sqref="T8">
    <cfRule type="cellIs" dxfId="552" priority="68" operator="greaterThan">
      <formula>1</formula>
    </cfRule>
    <cfRule type="dataBar" priority="73">
      <dataBar>
        <cfvo type="num" val="0"/>
        <cfvo type="num" val="1"/>
        <color rgb="FF9AC7F0"/>
      </dataBar>
      <extLst>
        <ext xmlns:x14="http://schemas.microsoft.com/office/spreadsheetml/2009/9/main" uri="{B025F937-C7B1-47D3-B67F-A62EFF666E3E}">
          <x14:id>{5C1DD12E-78E5-4320-A2B5-18EF056B1AAD}</x14:id>
        </ext>
      </extLst>
    </cfRule>
  </conditionalFormatting>
  <conditionalFormatting sqref="W8">
    <cfRule type="containsBlanks" dxfId="551" priority="69">
      <formula>LEN(TRIM(W8))=0</formula>
    </cfRule>
    <cfRule type="cellIs" dxfId="550" priority="71" operator="greaterThan">
      <formula>0</formula>
    </cfRule>
    <cfRule type="cellIs" dxfId="549" priority="72" operator="lessThanOrEqual">
      <formula>0</formula>
    </cfRule>
  </conditionalFormatting>
  <conditionalFormatting sqref="H8">
    <cfRule type="cellIs" dxfId="548" priority="67" operator="equal">
      <formula>"Nicht buchbar!"</formula>
    </cfRule>
  </conditionalFormatting>
  <conditionalFormatting sqref="I8">
    <cfRule type="expression" dxfId="547" priority="66">
      <formula>AND(J8&lt;&gt;"",J8&lt;=TODAY(),P8&lt;1)</formula>
    </cfRule>
  </conditionalFormatting>
  <conditionalFormatting sqref="K8">
    <cfRule type="dataBar" priority="65">
      <dataBar>
        <cfvo type="num" val="0"/>
        <cfvo type="num" val="1"/>
        <color rgb="FF9AC7F0"/>
      </dataBar>
      <extLst>
        <ext xmlns:x14="http://schemas.microsoft.com/office/spreadsheetml/2009/9/main" uri="{B025F937-C7B1-47D3-B67F-A62EFF666E3E}">
          <x14:id>{07356BF5-B401-40BE-AD8B-5E60B7061075}</x14:id>
        </ext>
      </extLst>
    </cfRule>
    <cfRule type="notContainsBlanks" dxfId="546" priority="74">
      <formula>LEN(TRIM(K8))&gt;0</formula>
    </cfRule>
  </conditionalFormatting>
  <conditionalFormatting sqref="M8">
    <cfRule type="cellIs" dxfId="545" priority="61" operator="lessThan">
      <formula>0</formula>
    </cfRule>
    <cfRule type="cellIs" dxfId="544" priority="62" operator="lessThan">
      <formula>T8</formula>
    </cfRule>
    <cfRule type="cellIs" dxfId="543" priority="63" operator="lessThan">
      <formula>5</formula>
    </cfRule>
  </conditionalFormatting>
  <conditionalFormatting sqref="M8">
    <cfRule type="cellIs" dxfId="542" priority="60" operator="equal">
      <formula>"Done"</formula>
    </cfRule>
    <cfRule type="notContainsBlanks" dxfId="541" priority="64">
      <formula>LEN(TRIM(M8))&gt;0</formula>
    </cfRule>
  </conditionalFormatting>
  <conditionalFormatting sqref="T10">
    <cfRule type="dataBar" priority="59">
      <dataBar>
        <cfvo type="num" val="0"/>
        <cfvo type="num" val="1"/>
        <color rgb="FF9AC7F0"/>
      </dataBar>
      <extLst>
        <ext xmlns:x14="http://schemas.microsoft.com/office/spreadsheetml/2009/9/main" uri="{B025F937-C7B1-47D3-B67F-A62EFF666E3E}">
          <x14:id>{AB3FFBCA-367C-4A03-B8BD-E54A23ACB573}</x14:id>
        </ext>
      </extLst>
    </cfRule>
  </conditionalFormatting>
  <conditionalFormatting sqref="T13">
    <cfRule type="cellIs" dxfId="540" priority="47" operator="greaterThan">
      <formula>1</formula>
    </cfRule>
    <cfRule type="dataBar" priority="55">
      <dataBar>
        <cfvo type="num" val="0"/>
        <cfvo type="num" val="1"/>
        <color rgb="FF9AC7F0"/>
      </dataBar>
      <extLst>
        <ext xmlns:x14="http://schemas.microsoft.com/office/spreadsheetml/2009/9/main" uri="{B025F937-C7B1-47D3-B67F-A62EFF666E3E}">
          <x14:id>{F07BDA4A-7AB2-4C14-B134-4BB48CDC09EE}</x14:id>
        </ext>
      </extLst>
    </cfRule>
  </conditionalFormatting>
  <conditionalFormatting sqref="T15">
    <cfRule type="dataBar" priority="54">
      <dataBar>
        <cfvo type="num" val="0"/>
        <cfvo type="num" val="1"/>
        <color rgb="FF9AC7F0"/>
      </dataBar>
      <extLst>
        <ext xmlns:x14="http://schemas.microsoft.com/office/spreadsheetml/2009/9/main" uri="{B025F937-C7B1-47D3-B67F-A62EFF666E3E}">
          <x14:id>{A84D8016-7D26-40C3-977D-EFC985F1A023}</x14:id>
        </ext>
      </extLst>
    </cfRule>
  </conditionalFormatting>
  <conditionalFormatting sqref="W13">
    <cfRule type="containsBlanks" dxfId="539" priority="49">
      <formula>LEN(TRIM(W13))=0</formula>
    </cfRule>
    <cfRule type="cellIs" dxfId="538" priority="51" operator="greaterThan">
      <formula>0</formula>
    </cfRule>
    <cfRule type="cellIs" dxfId="537" priority="52" operator="lessThanOrEqual">
      <formula>0</formula>
    </cfRule>
  </conditionalFormatting>
  <conditionalFormatting sqref="H13">
    <cfRule type="cellIs" dxfId="536" priority="46" operator="equal">
      <formula>"Nicht buchbar!"</formula>
    </cfRule>
  </conditionalFormatting>
  <conditionalFormatting sqref="I13">
    <cfRule type="expression" dxfId="535" priority="45">
      <formula>AND(J13&lt;&gt;"",J13&lt;=TODAY(),P13&lt;1)</formula>
    </cfRule>
  </conditionalFormatting>
  <conditionalFormatting sqref="K13">
    <cfRule type="dataBar" priority="44">
      <dataBar>
        <cfvo type="num" val="0"/>
        <cfvo type="num" val="1"/>
        <color rgb="FF9AC7F0"/>
      </dataBar>
      <extLst>
        <ext xmlns:x14="http://schemas.microsoft.com/office/spreadsheetml/2009/9/main" uri="{B025F937-C7B1-47D3-B67F-A62EFF666E3E}">
          <x14:id>{50EF76DE-15FE-4049-BEA9-F332DF2882DE}</x14:id>
        </ext>
      </extLst>
    </cfRule>
    <cfRule type="notContainsBlanks" dxfId="534" priority="56">
      <formula>LEN(TRIM(K13))&gt;0</formula>
    </cfRule>
  </conditionalFormatting>
  <conditionalFormatting sqref="I14">
    <cfRule type="expression" dxfId="533" priority="43">
      <formula>AND(J14&lt;&gt;"",J14&lt;=TODAY(),P14&lt;1)</formula>
    </cfRule>
  </conditionalFormatting>
  <conditionalFormatting sqref="O14">
    <cfRule type="dataBar" priority="42">
      <dataBar>
        <cfvo type="num" val="0"/>
        <cfvo type="num" val="1"/>
        <color rgb="FF9AC7F0"/>
      </dataBar>
      <extLst>
        <ext xmlns:x14="http://schemas.microsoft.com/office/spreadsheetml/2009/9/main" uri="{B025F937-C7B1-47D3-B67F-A62EFF666E3E}">
          <x14:id>{73210FA9-6FBD-4591-A75C-84D60C66B3D4}</x14:id>
        </ext>
      </extLst>
    </cfRule>
  </conditionalFormatting>
  <conditionalFormatting sqref="P14">
    <cfRule type="dataBar" priority="41">
      <dataBar>
        <cfvo type="num" val="0"/>
        <cfvo type="num" val="1"/>
        <color rgb="FF9AC7F0"/>
      </dataBar>
      <extLst>
        <ext xmlns:x14="http://schemas.microsoft.com/office/spreadsheetml/2009/9/main" uri="{B025F937-C7B1-47D3-B67F-A62EFF666E3E}">
          <x14:id>{58F65BEA-976F-4F8F-ABC7-4662F74035D3}</x14:id>
        </ext>
      </extLst>
    </cfRule>
  </conditionalFormatting>
  <conditionalFormatting sqref="M13">
    <cfRule type="cellIs" dxfId="532" priority="37" operator="lessThan">
      <formula>0</formula>
    </cfRule>
    <cfRule type="cellIs" dxfId="531" priority="38" operator="lessThan">
      <formula>T13</formula>
    </cfRule>
    <cfRule type="cellIs" dxfId="530" priority="39" operator="lessThan">
      <formula>5</formula>
    </cfRule>
  </conditionalFormatting>
  <conditionalFormatting sqref="M13">
    <cfRule type="cellIs" dxfId="529" priority="36" operator="equal">
      <formula>"Done"</formula>
    </cfRule>
    <cfRule type="notContainsBlanks" dxfId="528" priority="40">
      <formula>LEN(TRIM(M13))&gt;0</formula>
    </cfRule>
  </conditionalFormatting>
  <conditionalFormatting sqref="K14">
    <cfRule type="expression" priority="33">
      <formula>IF(M14="Done",TRUE,FALSE)</formula>
    </cfRule>
    <cfRule type="cellIs" dxfId="527" priority="34" operator="greaterThan">
      <formula>P14</formula>
    </cfRule>
    <cfRule type="dataBar" priority="35">
      <dataBar>
        <cfvo type="num" val="0"/>
        <cfvo type="num" val="1"/>
        <color rgb="FF9AC7F0"/>
      </dataBar>
      <extLst>
        <ext xmlns:x14="http://schemas.microsoft.com/office/spreadsheetml/2009/9/main" uri="{B025F937-C7B1-47D3-B67F-A62EFF666E3E}">
          <x14:id>{F28C66BC-DBDB-4C96-A8CB-B7D74DC71319}</x14:id>
        </ext>
      </extLst>
    </cfRule>
  </conditionalFormatting>
  <conditionalFormatting sqref="M14">
    <cfRule type="cellIs" dxfId="526" priority="30" operator="lessThan">
      <formula>0</formula>
    </cfRule>
    <cfRule type="cellIs" dxfId="525" priority="31" operator="lessThan">
      <formula>S14</formula>
    </cfRule>
    <cfRule type="cellIs" dxfId="524" priority="32" operator="lessThan">
      <formula>5</formula>
    </cfRule>
  </conditionalFormatting>
  <conditionalFormatting sqref="M14">
    <cfRule type="cellIs" dxfId="523" priority="29" operator="equal">
      <formula>"Done"</formula>
    </cfRule>
  </conditionalFormatting>
  <conditionalFormatting sqref="T18">
    <cfRule type="cellIs" dxfId="522" priority="19" operator="greaterThan">
      <formula>1</formula>
    </cfRule>
    <cfRule type="dataBar" priority="27">
      <dataBar>
        <cfvo type="num" val="0"/>
        <cfvo type="num" val="1"/>
        <color rgb="FF9AC7F0"/>
      </dataBar>
      <extLst>
        <ext xmlns:x14="http://schemas.microsoft.com/office/spreadsheetml/2009/9/main" uri="{B025F937-C7B1-47D3-B67F-A62EFF666E3E}">
          <x14:id>{385D1F6F-AABE-4A62-9658-E93C71BB12E7}</x14:id>
        </ext>
      </extLst>
    </cfRule>
  </conditionalFormatting>
  <conditionalFormatting sqref="T20">
    <cfRule type="dataBar" priority="26">
      <dataBar>
        <cfvo type="num" val="0"/>
        <cfvo type="num" val="1"/>
        <color rgb="FF9AC7F0"/>
      </dataBar>
      <extLst>
        <ext xmlns:x14="http://schemas.microsoft.com/office/spreadsheetml/2009/9/main" uri="{B025F937-C7B1-47D3-B67F-A62EFF666E3E}">
          <x14:id>{35C4FCF6-2CC6-4FCB-BE28-7B08207CAF79}</x14:id>
        </ext>
      </extLst>
    </cfRule>
  </conditionalFormatting>
  <conditionalFormatting sqref="W18">
    <cfRule type="containsBlanks" dxfId="521" priority="21">
      <formula>LEN(TRIM(W18))=0</formula>
    </cfRule>
    <cfRule type="cellIs" dxfId="520" priority="23" operator="greaterThan">
      <formula>0</formula>
    </cfRule>
    <cfRule type="cellIs" dxfId="519" priority="24" operator="lessThanOrEqual">
      <formula>0</formula>
    </cfRule>
  </conditionalFormatting>
  <conditionalFormatting sqref="H18">
    <cfRule type="cellIs" dxfId="518" priority="18" operator="equal">
      <formula>"Nicht buchbar!"</formula>
    </cfRule>
  </conditionalFormatting>
  <conditionalFormatting sqref="I18">
    <cfRule type="expression" dxfId="517" priority="17">
      <formula>AND(J18&lt;&gt;"",J18&lt;=TODAY(),P18&lt;1)</formula>
    </cfRule>
  </conditionalFormatting>
  <conditionalFormatting sqref="K18">
    <cfRule type="dataBar" priority="16">
      <dataBar>
        <cfvo type="num" val="0"/>
        <cfvo type="num" val="1"/>
        <color rgb="FF9AC7F0"/>
      </dataBar>
      <extLst>
        <ext xmlns:x14="http://schemas.microsoft.com/office/spreadsheetml/2009/9/main" uri="{B025F937-C7B1-47D3-B67F-A62EFF666E3E}">
          <x14:id>{FA98CFA1-EB80-4604-B59D-FCF1FBF16DCF}</x14:id>
        </ext>
      </extLst>
    </cfRule>
    <cfRule type="notContainsBlanks" dxfId="516" priority="28">
      <formula>LEN(TRIM(K18))&gt;0</formula>
    </cfRule>
  </conditionalFormatting>
  <conditionalFormatting sqref="I19">
    <cfRule type="expression" dxfId="515" priority="15">
      <formula>AND(J19&lt;&gt;"",J19&lt;=TODAY(),P19&lt;1)</formula>
    </cfRule>
  </conditionalFormatting>
  <conditionalFormatting sqref="O19">
    <cfRule type="dataBar" priority="14">
      <dataBar>
        <cfvo type="num" val="0"/>
        <cfvo type="num" val="1"/>
        <color rgb="FF9AC7F0"/>
      </dataBar>
      <extLst>
        <ext xmlns:x14="http://schemas.microsoft.com/office/spreadsheetml/2009/9/main" uri="{B025F937-C7B1-47D3-B67F-A62EFF666E3E}">
          <x14:id>{39A7D693-2C67-475C-ABAC-DBE173D8E9AC}</x14:id>
        </ext>
      </extLst>
    </cfRule>
  </conditionalFormatting>
  <conditionalFormatting sqref="P19">
    <cfRule type="dataBar" priority="13">
      <dataBar>
        <cfvo type="num" val="0"/>
        <cfvo type="num" val="1"/>
        <color rgb="FF9AC7F0"/>
      </dataBar>
      <extLst>
        <ext xmlns:x14="http://schemas.microsoft.com/office/spreadsheetml/2009/9/main" uri="{B025F937-C7B1-47D3-B67F-A62EFF666E3E}">
          <x14:id>{CEE5F9D1-FA36-42FF-BBA4-DEE4EF9D8B39}</x14:id>
        </ext>
      </extLst>
    </cfRule>
  </conditionalFormatting>
  <conditionalFormatting sqref="M18">
    <cfRule type="cellIs" dxfId="514" priority="9" operator="lessThan">
      <formula>0</formula>
    </cfRule>
    <cfRule type="cellIs" dxfId="513" priority="10" operator="lessThan">
      <formula>T18</formula>
    </cfRule>
    <cfRule type="cellIs" dxfId="512" priority="11" operator="lessThan">
      <formula>5</formula>
    </cfRule>
  </conditionalFormatting>
  <conditionalFormatting sqref="M18">
    <cfRule type="cellIs" dxfId="511" priority="8" operator="equal">
      <formula>"Done"</formula>
    </cfRule>
    <cfRule type="notContainsBlanks" dxfId="510" priority="12">
      <formula>LEN(TRIM(M18))&gt;0</formula>
    </cfRule>
  </conditionalFormatting>
  <conditionalFormatting sqref="K19">
    <cfRule type="expression" priority="5">
      <formula>IF(M19="Done",TRUE,FALSE)</formula>
    </cfRule>
    <cfRule type="cellIs" dxfId="509" priority="6" operator="greaterThan">
      <formula>P19</formula>
    </cfRule>
    <cfRule type="dataBar" priority="7">
      <dataBar>
        <cfvo type="num" val="0"/>
        <cfvo type="num" val="1"/>
        <color rgb="FF9AC7F0"/>
      </dataBar>
      <extLst>
        <ext xmlns:x14="http://schemas.microsoft.com/office/spreadsheetml/2009/9/main" uri="{B025F937-C7B1-47D3-B67F-A62EFF666E3E}">
          <x14:id>{F23B32A5-6C3E-4B32-BC35-0AFEDE0CE56E}</x14:id>
        </ext>
      </extLst>
    </cfRule>
  </conditionalFormatting>
  <conditionalFormatting sqref="M19">
    <cfRule type="cellIs" dxfId="508" priority="2" operator="lessThan">
      <formula>0</formula>
    </cfRule>
    <cfRule type="cellIs" dxfId="507" priority="3" operator="lessThan">
      <formula>S19</formula>
    </cfRule>
    <cfRule type="cellIs" dxfId="506" priority="4" operator="lessThan">
      <formula>5</formula>
    </cfRule>
  </conditionalFormatting>
  <conditionalFormatting sqref="M19">
    <cfRule type="cellIs" dxfId="505" priority="1" operator="equal">
      <formula>"Done"</formula>
    </cfRule>
  </conditionalFormatting>
  <dataValidations count="1">
    <dataValidation allowBlank="1" showInputMessage="1" showErrorMessage="1" sqref="O9:P9 F9 F14 O14:P14 F19 O19:P19" xr:uid="{436FFF43-CFE3-4EBC-A485-859BBD09177A}"/>
  </dataValidations>
  <pageMargins left="0.7" right="0.7" top="0.78740157499999996" bottom="0.78740157499999996"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BA8DD0A0-B732-4175-8705-FD6EE1A8F0F4}">
            <x14:dataBar minLength="0" maxLength="100" gradient="0">
              <x14:cfvo type="num">
                <xm:f>0</xm:f>
              </x14:cfvo>
              <x14:cfvo type="num">
                <xm:f>1</xm:f>
              </x14:cfvo>
              <x14:negativeFillColor rgb="FFFF0000"/>
              <x14:axisColor rgb="FF000000"/>
            </x14:dataBar>
          </x14:cfRule>
          <xm:sqref>T3:T5</xm:sqref>
        </x14:conditionalFormatting>
        <x14:conditionalFormatting xmlns:xm="http://schemas.microsoft.com/office/excel/2006/main">
          <x14:cfRule type="dataBar" id="{BBD77EAE-8848-421D-8E08-DDD0AF5A2EFB}">
            <x14:dataBar minLength="0" maxLength="100" gradient="0">
              <x14:cfvo type="num">
                <xm:f>0</xm:f>
              </x14:cfvo>
              <x14:cfvo type="num">
                <xm:f>1</xm:f>
              </x14:cfvo>
              <x14:negativeFillColor rgb="FFFF0000"/>
              <x14:axisColor rgb="FF000000"/>
            </x14:dataBar>
          </x14:cfRule>
          <xm:sqref>P9</xm:sqref>
        </x14:conditionalFormatting>
        <x14:conditionalFormatting xmlns:xm="http://schemas.microsoft.com/office/excel/2006/main">
          <x14:cfRule type="dataBar" id="{6812AD5A-3DF4-4F80-99DE-7AAB79091B6A}">
            <x14:dataBar minLength="0" maxLength="100" gradient="0">
              <x14:cfvo type="num">
                <xm:f>0</xm:f>
              </x14:cfvo>
              <x14:cfvo type="num">
                <xm:f>1</xm:f>
              </x14:cfvo>
              <x14:negativeFillColor rgb="FFFF0000"/>
              <x14:axisColor rgb="FF000000"/>
            </x14:dataBar>
          </x14:cfRule>
          <xm:sqref>O9</xm:sqref>
        </x14:conditionalFormatting>
        <x14:conditionalFormatting xmlns:xm="http://schemas.microsoft.com/office/excel/2006/main">
          <x14:cfRule type="dataBar" id="{4F7755C8-C370-4104-AF5A-EEA376FD4E40}">
            <x14:dataBar minLength="0" maxLength="100" gradient="0">
              <x14:cfvo type="num">
                <xm:f>0</xm:f>
              </x14:cfvo>
              <x14:cfvo type="num">
                <xm:f>1</xm:f>
              </x14:cfvo>
              <x14:negativeFillColor rgb="FFFF0000"/>
              <x14:axisColor rgb="FF000000"/>
            </x14:dataBar>
          </x14:cfRule>
          <xm:sqref>K9</xm:sqref>
        </x14:conditionalFormatting>
        <x14:conditionalFormatting xmlns:xm="http://schemas.microsoft.com/office/excel/2006/main">
          <x14:cfRule type="dataBar" id="{5C1DD12E-78E5-4320-A2B5-18EF056B1AAD}">
            <x14:dataBar minLength="0" maxLength="100" gradient="0">
              <x14:cfvo type="num">
                <xm:f>0</xm:f>
              </x14:cfvo>
              <x14:cfvo type="num">
                <xm:f>1</xm:f>
              </x14:cfvo>
              <x14:negativeFillColor rgb="FFFF0000"/>
              <x14:axisColor rgb="FF000000"/>
            </x14:dataBar>
          </x14:cfRule>
          <xm:sqref>T8</xm:sqref>
        </x14:conditionalFormatting>
        <x14:conditionalFormatting xmlns:xm="http://schemas.microsoft.com/office/excel/2006/main">
          <x14:cfRule type="dataBar" id="{07356BF5-B401-40BE-AD8B-5E60B7061075}">
            <x14:dataBar minLength="0" maxLength="100" gradient="0">
              <x14:cfvo type="num">
                <xm:f>0</xm:f>
              </x14:cfvo>
              <x14:cfvo type="num">
                <xm:f>1</xm:f>
              </x14:cfvo>
              <x14:negativeFillColor rgb="FFFF0000"/>
              <x14:axisColor rgb="FF000000"/>
            </x14:dataBar>
          </x14:cfRule>
          <xm:sqref>K8</xm:sqref>
        </x14:conditionalFormatting>
        <x14:conditionalFormatting xmlns:xm="http://schemas.microsoft.com/office/excel/2006/main">
          <x14:cfRule type="dataBar" id="{AB3FFBCA-367C-4A03-B8BD-E54A23ACB573}">
            <x14:dataBar minLength="0" maxLength="100" gradient="0">
              <x14:cfvo type="num">
                <xm:f>0</xm:f>
              </x14:cfvo>
              <x14:cfvo type="num">
                <xm:f>1</xm:f>
              </x14:cfvo>
              <x14:negativeFillColor rgb="FFFF0000"/>
              <x14:axisColor rgb="FF000000"/>
            </x14:dataBar>
          </x14:cfRule>
          <xm:sqref>T10</xm:sqref>
        </x14:conditionalFormatting>
        <x14:conditionalFormatting xmlns:xm="http://schemas.microsoft.com/office/excel/2006/main">
          <x14:cfRule type="dataBar" id="{F07BDA4A-7AB2-4C14-B134-4BB48CDC09EE}">
            <x14:dataBar minLength="0" maxLength="100" gradient="0">
              <x14:cfvo type="num">
                <xm:f>0</xm:f>
              </x14:cfvo>
              <x14:cfvo type="num">
                <xm:f>1</xm:f>
              </x14:cfvo>
              <x14:negativeFillColor rgb="FFFF0000"/>
              <x14:axisColor rgb="FF000000"/>
            </x14:dataBar>
          </x14:cfRule>
          <xm:sqref>T13</xm:sqref>
        </x14:conditionalFormatting>
        <x14:conditionalFormatting xmlns:xm="http://schemas.microsoft.com/office/excel/2006/main">
          <x14:cfRule type="dataBar" id="{A84D8016-7D26-40C3-977D-EFC985F1A023}">
            <x14:dataBar minLength="0" maxLength="100" gradient="0">
              <x14:cfvo type="num">
                <xm:f>0</xm:f>
              </x14:cfvo>
              <x14:cfvo type="num">
                <xm:f>1</xm:f>
              </x14:cfvo>
              <x14:negativeFillColor rgb="FFFF0000"/>
              <x14:axisColor rgb="FF000000"/>
            </x14:dataBar>
          </x14:cfRule>
          <xm:sqref>T15</xm:sqref>
        </x14:conditionalFormatting>
        <x14:conditionalFormatting xmlns:xm="http://schemas.microsoft.com/office/excel/2006/main">
          <x14:cfRule type="dataBar" id="{50EF76DE-15FE-4049-BEA9-F332DF2882DE}">
            <x14:dataBar minLength="0" maxLength="100" gradient="0">
              <x14:cfvo type="num">
                <xm:f>0</xm:f>
              </x14:cfvo>
              <x14:cfvo type="num">
                <xm:f>1</xm:f>
              </x14:cfvo>
              <x14:negativeFillColor rgb="FFFF0000"/>
              <x14:axisColor rgb="FF000000"/>
            </x14:dataBar>
          </x14:cfRule>
          <xm:sqref>K13</xm:sqref>
        </x14:conditionalFormatting>
        <x14:conditionalFormatting xmlns:xm="http://schemas.microsoft.com/office/excel/2006/main">
          <x14:cfRule type="dataBar" id="{73210FA9-6FBD-4591-A75C-84D60C66B3D4}">
            <x14:dataBar minLength="0" maxLength="100" gradient="0">
              <x14:cfvo type="num">
                <xm:f>0</xm:f>
              </x14:cfvo>
              <x14:cfvo type="num">
                <xm:f>1</xm:f>
              </x14:cfvo>
              <x14:negativeFillColor rgb="FFFF0000"/>
              <x14:axisColor rgb="FF000000"/>
            </x14:dataBar>
          </x14:cfRule>
          <xm:sqref>O14</xm:sqref>
        </x14:conditionalFormatting>
        <x14:conditionalFormatting xmlns:xm="http://schemas.microsoft.com/office/excel/2006/main">
          <x14:cfRule type="dataBar" id="{58F65BEA-976F-4F8F-ABC7-4662F74035D3}">
            <x14:dataBar minLength="0" maxLength="100" gradient="0">
              <x14:cfvo type="num">
                <xm:f>0</xm:f>
              </x14:cfvo>
              <x14:cfvo type="num">
                <xm:f>1</xm:f>
              </x14:cfvo>
              <x14:negativeFillColor rgb="FFFF0000"/>
              <x14:axisColor rgb="FF000000"/>
            </x14:dataBar>
          </x14:cfRule>
          <xm:sqref>P14</xm:sqref>
        </x14:conditionalFormatting>
        <x14:conditionalFormatting xmlns:xm="http://schemas.microsoft.com/office/excel/2006/main">
          <x14:cfRule type="dataBar" id="{F28C66BC-DBDB-4C96-A8CB-B7D74DC71319}">
            <x14:dataBar minLength="0" maxLength="100" gradient="0">
              <x14:cfvo type="num">
                <xm:f>0</xm:f>
              </x14:cfvo>
              <x14:cfvo type="num">
                <xm:f>1</xm:f>
              </x14:cfvo>
              <x14:negativeFillColor rgb="FFFF0000"/>
              <x14:axisColor rgb="FF000000"/>
            </x14:dataBar>
          </x14:cfRule>
          <xm:sqref>K14</xm:sqref>
        </x14:conditionalFormatting>
        <x14:conditionalFormatting xmlns:xm="http://schemas.microsoft.com/office/excel/2006/main">
          <x14:cfRule type="dataBar" id="{385D1F6F-AABE-4A62-9658-E93C71BB12E7}">
            <x14:dataBar minLength="0" maxLength="100" gradient="0">
              <x14:cfvo type="num">
                <xm:f>0</xm:f>
              </x14:cfvo>
              <x14:cfvo type="num">
                <xm:f>1</xm:f>
              </x14:cfvo>
              <x14:negativeFillColor rgb="FFFF0000"/>
              <x14:axisColor rgb="FF000000"/>
            </x14:dataBar>
          </x14:cfRule>
          <xm:sqref>T18</xm:sqref>
        </x14:conditionalFormatting>
        <x14:conditionalFormatting xmlns:xm="http://schemas.microsoft.com/office/excel/2006/main">
          <x14:cfRule type="dataBar" id="{35C4FCF6-2CC6-4FCB-BE28-7B08207CAF79}">
            <x14:dataBar minLength="0" maxLength="100" gradient="0">
              <x14:cfvo type="num">
                <xm:f>0</xm:f>
              </x14:cfvo>
              <x14:cfvo type="num">
                <xm:f>1</xm:f>
              </x14:cfvo>
              <x14:negativeFillColor rgb="FFFF0000"/>
              <x14:axisColor rgb="FF000000"/>
            </x14:dataBar>
          </x14:cfRule>
          <xm:sqref>T20</xm:sqref>
        </x14:conditionalFormatting>
        <x14:conditionalFormatting xmlns:xm="http://schemas.microsoft.com/office/excel/2006/main">
          <x14:cfRule type="dataBar" id="{FA98CFA1-EB80-4604-B59D-FCF1FBF16DCF}">
            <x14:dataBar minLength="0" maxLength="100" gradient="0">
              <x14:cfvo type="num">
                <xm:f>0</xm:f>
              </x14:cfvo>
              <x14:cfvo type="num">
                <xm:f>1</xm:f>
              </x14:cfvo>
              <x14:negativeFillColor rgb="FFFF0000"/>
              <x14:axisColor rgb="FF000000"/>
            </x14:dataBar>
          </x14:cfRule>
          <xm:sqref>K18</xm:sqref>
        </x14:conditionalFormatting>
        <x14:conditionalFormatting xmlns:xm="http://schemas.microsoft.com/office/excel/2006/main">
          <x14:cfRule type="dataBar" id="{39A7D693-2C67-475C-ABAC-DBE173D8E9AC}">
            <x14:dataBar minLength="0" maxLength="100" gradient="0">
              <x14:cfvo type="num">
                <xm:f>0</xm:f>
              </x14:cfvo>
              <x14:cfvo type="num">
                <xm:f>1</xm:f>
              </x14:cfvo>
              <x14:negativeFillColor rgb="FFFF0000"/>
              <x14:axisColor rgb="FF000000"/>
            </x14:dataBar>
          </x14:cfRule>
          <xm:sqref>O19</xm:sqref>
        </x14:conditionalFormatting>
        <x14:conditionalFormatting xmlns:xm="http://schemas.microsoft.com/office/excel/2006/main">
          <x14:cfRule type="dataBar" id="{CEE5F9D1-FA36-42FF-BBA4-DEE4EF9D8B39}">
            <x14:dataBar minLength="0" maxLength="100" gradient="0">
              <x14:cfvo type="num">
                <xm:f>0</xm:f>
              </x14:cfvo>
              <x14:cfvo type="num">
                <xm:f>1</xm:f>
              </x14:cfvo>
              <x14:negativeFillColor rgb="FFFF0000"/>
              <x14:axisColor rgb="FF000000"/>
            </x14:dataBar>
          </x14:cfRule>
          <xm:sqref>P19</xm:sqref>
        </x14:conditionalFormatting>
        <x14:conditionalFormatting xmlns:xm="http://schemas.microsoft.com/office/excel/2006/main">
          <x14:cfRule type="dataBar" id="{F23B32A5-6C3E-4B32-BC35-0AFEDE0CE56E}">
            <x14:dataBar minLength="0" maxLength="100" gradient="0">
              <x14:cfvo type="num">
                <xm:f>0</xm:f>
              </x14:cfvo>
              <x14:cfvo type="num">
                <xm:f>1</xm:f>
              </x14:cfvo>
              <x14:negativeFillColor rgb="FFFF0000"/>
              <x14:axisColor rgb="FF000000"/>
            </x14:dataBar>
          </x14:cfRule>
          <xm:sqref>K19</xm:sqref>
        </x14:conditionalFormatting>
        <x14:conditionalFormatting xmlns:xm="http://schemas.microsoft.com/office/excel/2006/main">
          <x14:cfRule type="cellIs" priority="150" operator="lessThan" id="{B8D62827-ABEC-48D2-8D15-0C374EFCB34E}">
            <xm:f>(1-Projekteinstellungen!$K$9)*$R$4</xm:f>
            <x14:dxf>
              <fill>
                <patternFill patternType="solid">
                  <fgColor auto="1"/>
                  <bgColor rgb="FFFFD966"/>
                </patternFill>
              </fill>
            </x14:dxf>
          </x14:cfRule>
          <x14:cfRule type="cellIs" priority="151" operator="greaterThan" id="{2A82D459-B7BB-4BA9-9030-C655C15B4F82}">
            <xm:f>(1+Projekteinstellungen!$K$9)*$R$4</xm:f>
            <x14:dxf>
              <fill>
                <patternFill patternType="solid">
                  <fgColor auto="1"/>
                  <bgColor rgb="FFF55F5F"/>
                </patternFill>
              </fill>
            </x14:dxf>
          </x14:cfRule>
          <xm:sqref>R5</xm:sqref>
        </x14:conditionalFormatting>
        <x14:conditionalFormatting xmlns:xm="http://schemas.microsoft.com/office/excel/2006/main">
          <x14:cfRule type="cellIs" priority="163" operator="greaterThanOrEqual" id="{020E0774-7DC5-46BA-8956-2F7B975E18E0}">
            <xm:f>Projekteinstellungen!$C$9</xm:f>
            <x14:dxf>
              <fill>
                <patternFill patternType="solid">
                  <fgColor auto="1"/>
                  <bgColor rgb="FFF55F5F"/>
                </patternFill>
              </fill>
            </x14:dxf>
          </x14:cfRule>
          <xm:sqref>W3:W4</xm:sqref>
        </x14:conditionalFormatting>
        <x14:conditionalFormatting xmlns:xm="http://schemas.microsoft.com/office/excel/2006/main">
          <x14:cfRule type="cellIs" priority="149" operator="greaterThan" id="{6D08EC08-E369-4431-8E02-6BD805F8D232}">
            <xm:f>(1+Projekteinstellungen!$K$9)*$S$4</xm:f>
            <x14:dxf>
              <fill>
                <patternFill patternType="solid">
                  <fgColor auto="1"/>
                  <bgColor rgb="FFF55F5F"/>
                </patternFill>
              </fill>
            </x14:dxf>
          </x14:cfRule>
          <xm:sqref>S5</xm:sqref>
        </x14:conditionalFormatting>
        <x14:conditionalFormatting xmlns:xm="http://schemas.microsoft.com/office/excel/2006/main">
          <x14:cfRule type="cellIs" priority="70" operator="greaterThanOrEqual" id="{6D41DC7E-BB98-49EB-AF70-70C2B7F8B91E}">
            <xm:f>Projekteinstellungen!$C$9</xm:f>
            <x14:dxf>
              <fill>
                <patternFill patternType="solid">
                  <fgColor auto="1"/>
                  <bgColor rgb="FFF55F5F"/>
                </patternFill>
              </fill>
            </x14:dxf>
          </x14:cfRule>
          <xm:sqref>W8</xm:sqref>
        </x14:conditionalFormatting>
        <x14:conditionalFormatting xmlns:xm="http://schemas.microsoft.com/office/excel/2006/main">
          <x14:cfRule type="cellIs" priority="50" operator="greaterThanOrEqual" id="{602E08CB-356B-4C49-978A-8CDB32459151}">
            <xm:f>Projekteinstellungen!$C$9</xm:f>
            <x14:dxf>
              <fill>
                <patternFill patternType="solid">
                  <fgColor auto="1"/>
                  <bgColor rgb="FFF55F5F"/>
                </patternFill>
              </fill>
            </x14:dxf>
          </x14:cfRule>
          <xm:sqref>W13</xm:sqref>
        </x14:conditionalFormatting>
        <x14:conditionalFormatting xmlns:xm="http://schemas.microsoft.com/office/excel/2006/main">
          <x14:cfRule type="cellIs" priority="22" operator="greaterThanOrEqual" id="{9FEBA97D-86A1-484A-90B4-CF2EC0EEB802}">
            <xm:f>Projekteinstellungen!$C$9</xm:f>
            <x14:dxf>
              <fill>
                <patternFill patternType="solid">
                  <fgColor auto="1"/>
                  <bgColor rgb="FFF55F5F"/>
                </patternFill>
              </fill>
            </x14:dxf>
          </x14:cfRule>
          <xm:sqref>W18</xm:sqref>
        </x14:conditionalFormatting>
        <x14:conditionalFormatting xmlns:xm="http://schemas.microsoft.com/office/excel/2006/main">
          <x14:cfRule type="cellIs" priority="191" stopIfTrue="1" operator="greaterThan" id="{555E33B7-E196-4FE6-B2B4-77FDC7FFBDF1}">
            <xm:f>(1+Projekteinstellungen!$K$9)*$R$8</xm:f>
            <x14:dxf>
              <font>
                <color rgb="FF000000"/>
              </font>
              <fill>
                <patternFill>
                  <bgColor rgb="FFF55F5F"/>
                </patternFill>
              </fill>
            </x14:dxf>
          </x14:cfRule>
          <xm:sqref>R10</xm:sqref>
        </x14:conditionalFormatting>
        <x14:conditionalFormatting xmlns:xm="http://schemas.microsoft.com/office/excel/2006/main">
          <x14:cfRule type="cellIs" priority="192" stopIfTrue="1" operator="lessThan" id="{FBD076F5-9CE9-41B4-A251-B272C9EF78C0}">
            <xm:f>(1-Projekteinstellungen!$K$9)*$R$8</xm:f>
            <x14:dxf>
              <font>
                <color rgb="FF000000"/>
              </font>
              <fill>
                <patternFill>
                  <bgColor rgb="FFFFD966"/>
                </patternFill>
              </fill>
            </x14:dxf>
          </x14:cfRule>
          <xm:sqref>R10</xm:sqref>
        </x14:conditionalFormatting>
        <x14:conditionalFormatting xmlns:xm="http://schemas.microsoft.com/office/excel/2006/main">
          <x14:cfRule type="cellIs" priority="193" stopIfTrue="1" operator="greaterThan" id="{987FA818-E3E8-4156-BE31-D0B348EF0916}">
            <xm:f>(1+Projekteinstellungen!$K$9)*$S$8</xm:f>
            <x14:dxf>
              <font>
                <color rgb="FF000000"/>
              </font>
              <fill>
                <patternFill>
                  <bgColor rgb="FFF55F5F"/>
                </patternFill>
              </fill>
            </x14:dxf>
          </x14:cfRule>
          <xm:sqref>S10</xm:sqref>
        </x14:conditionalFormatting>
        <x14:conditionalFormatting xmlns:xm="http://schemas.microsoft.com/office/excel/2006/main">
          <x14:cfRule type="cellIs" priority="194" stopIfTrue="1" operator="greaterThan" id="{3D713065-F7FC-4DA7-B976-F2376F4B72FC}">
            <xm:f>(1+Projekteinstellungen!$K$9)*$R$13</xm:f>
            <x14:dxf>
              <font>
                <color rgb="FF000000"/>
              </font>
              <fill>
                <patternFill>
                  <bgColor rgb="FFF55F5F"/>
                </patternFill>
              </fill>
            </x14:dxf>
          </x14:cfRule>
          <xm:sqref>R15</xm:sqref>
        </x14:conditionalFormatting>
        <x14:conditionalFormatting xmlns:xm="http://schemas.microsoft.com/office/excel/2006/main">
          <x14:cfRule type="cellIs" priority="195" stopIfTrue="1" operator="lessThan" id="{D4CAF038-4349-4825-B981-2D544822493A}">
            <xm:f>(1-Projekteinstellungen!$K$9)*$R$13</xm:f>
            <x14:dxf>
              <font>
                <color rgb="FF000000"/>
              </font>
              <fill>
                <patternFill>
                  <bgColor rgb="FFFFD966"/>
                </patternFill>
              </fill>
            </x14:dxf>
          </x14:cfRule>
          <xm:sqref>R15</xm:sqref>
        </x14:conditionalFormatting>
        <x14:conditionalFormatting xmlns:xm="http://schemas.microsoft.com/office/excel/2006/main">
          <x14:cfRule type="cellIs" priority="196" stopIfTrue="1" operator="greaterThan" id="{A24BDC85-F772-4FAD-AB49-CC7756EB7D7D}">
            <xm:f>(1+Projekteinstellungen!$K$9)*$S$13</xm:f>
            <x14:dxf>
              <font>
                <color rgb="FF000000"/>
              </font>
              <fill>
                <patternFill>
                  <bgColor rgb="FFF55F5F"/>
                </patternFill>
              </fill>
            </x14:dxf>
          </x14:cfRule>
          <xm:sqref>S15</xm:sqref>
        </x14:conditionalFormatting>
        <x14:conditionalFormatting xmlns:xm="http://schemas.microsoft.com/office/excel/2006/main">
          <x14:cfRule type="cellIs" priority="197" stopIfTrue="1" operator="greaterThan" id="{961F8298-92DE-424D-B29A-A293F462FEEB}">
            <xm:f>(1+Projekteinstellungen!$K$9)*$R$18</xm:f>
            <x14:dxf>
              <font>
                <color rgb="FF000000"/>
              </font>
              <fill>
                <patternFill>
                  <bgColor rgb="FFF55F5F"/>
                </patternFill>
              </fill>
            </x14:dxf>
          </x14:cfRule>
          <xm:sqref>R20</xm:sqref>
        </x14:conditionalFormatting>
        <x14:conditionalFormatting xmlns:xm="http://schemas.microsoft.com/office/excel/2006/main">
          <x14:cfRule type="cellIs" priority="198" stopIfTrue="1" operator="lessThan" id="{B9C48732-7B35-41F1-87AB-AF5AA7B7031D}">
            <xm:f>(1-Projekteinstellungen!$K$9)*$R$18</xm:f>
            <x14:dxf>
              <font>
                <color rgb="FF000000"/>
              </font>
              <fill>
                <patternFill>
                  <bgColor rgb="FFFFD966"/>
                </patternFill>
              </fill>
            </x14:dxf>
          </x14:cfRule>
          <xm:sqref>R20</xm:sqref>
        </x14:conditionalFormatting>
        <x14:conditionalFormatting xmlns:xm="http://schemas.microsoft.com/office/excel/2006/main">
          <x14:cfRule type="cellIs" priority="199" stopIfTrue="1" operator="greaterThan" id="{AC697B2B-4D33-4935-93A4-6D1CDE146016}">
            <xm:f>(1+Projekteinstellungen!$K$9)*$S$18</xm:f>
            <x14:dxf>
              <font>
                <color rgb="FF000000"/>
              </font>
              <fill>
                <patternFill>
                  <bgColor rgb="FFF55F5F"/>
                </patternFill>
              </fill>
            </x14:dxf>
          </x14:cfRule>
          <xm:sqref>S20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33B1A604-0C8C-44DC-B800-FB43956900DA}">
          <x14:formula1>
            <xm:f>Projekteinstellungen!$B$37:$B$57</xm:f>
          </x14:formula1>
          <xm:sqref>N4 N8:N9 N13:N14 N18:N19</xm:sqref>
        </x14:dataValidation>
        <x14:dataValidation type="list" allowBlank="1" showInputMessage="1" showErrorMessage="1" xr:uid="{F518CD65-5F37-442A-B39B-D846F24574A0}">
          <x14:formula1>
            <xm:f>Projekteinstellungen!$B$32:$B$33</xm:f>
          </x14:formula1>
          <xm:sqref>E9 E14 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3881F-C623-4B0C-AF40-1F22F1EFFC89}">
  <sheetPr codeName="Tabelle13">
    <outlinePr summaryBelow="0"/>
  </sheetPr>
  <dimension ref="A1:AC19"/>
  <sheetViews>
    <sheetView zoomScale="85" zoomScaleNormal="85" workbookViewId="0">
      <pane ySplit="6" topLeftCell="A7" activePane="bottomLeft" state="frozen"/>
      <selection pane="bottomLeft" activeCell="F43" sqref="F43"/>
    </sheetView>
  </sheetViews>
  <sheetFormatPr baseColWidth="10" defaultRowHeight="15" customHeight="1" outlineLevelRow="1" outlineLevelCol="1"/>
  <cols>
    <col min="1" max="1" width="2.7109375" style="267" customWidth="1"/>
    <col min="2" max="2" width="2" style="11" customWidth="1"/>
    <col min="3" max="3" width="1" style="11" customWidth="1"/>
    <col min="4" max="4" width="7.28515625" style="11" customWidth="1" collapsed="1"/>
    <col min="5" max="5" width="8.140625" style="11" hidden="1" customWidth="1" outlineLevel="1"/>
    <col min="6" max="6" width="39.42578125" style="11" customWidth="1" collapsed="1"/>
    <col min="7" max="7" width="39.42578125" style="11" customWidth="1"/>
    <col min="8" max="8" width="33.140625" style="11" customWidth="1"/>
    <col min="9" max="9" width="2.5703125" style="17" hidden="1" customWidth="1" outlineLevel="1"/>
    <col min="10" max="10" width="12.85546875" style="146" hidden="1" customWidth="1" outlineLevel="1"/>
    <col min="11" max="11" width="13.7109375" style="11" hidden="1" customWidth="1" outlineLevel="1"/>
    <col min="12" max="12" width="12.85546875" style="17" customWidth="1" collapsed="1"/>
    <col min="13" max="13" width="12.7109375" style="11" customWidth="1"/>
    <col min="14" max="14" width="11.7109375" style="11" customWidth="1" collapsed="1"/>
    <col min="15" max="15" width="13.7109375" style="11" hidden="1" customWidth="1" outlineLevel="1"/>
    <col min="16" max="16" width="13.7109375" style="11" customWidth="1" collapsed="1"/>
    <col min="17" max="17" width="7.7109375" style="11" customWidth="1"/>
    <col min="18" max="20" width="11.7109375" style="11" customWidth="1"/>
    <col min="21" max="21" width="5" style="11" customWidth="1"/>
    <col min="22" max="23" width="9.42578125" style="11" customWidth="1"/>
    <col min="24" max="24" width="14.85546875" style="17" hidden="1" customWidth="1"/>
    <col min="25" max="25" width="11.42578125" style="17" hidden="1" customWidth="1"/>
    <col min="26" max="28" width="11.42578125" style="11" hidden="1" customWidth="1"/>
    <col min="29" max="16384" width="11.42578125" style="11"/>
  </cols>
  <sheetData>
    <row r="1" spans="1:29" s="12" customFormat="1" ht="29.45" customHeight="1">
      <c r="A1" s="431" t="s">
        <v>131</v>
      </c>
      <c r="B1" s="94"/>
      <c r="D1" s="9"/>
      <c r="E1" s="10" t="s">
        <v>137</v>
      </c>
      <c r="F1" s="10" t="s">
        <v>163</v>
      </c>
      <c r="G1" s="10" t="s">
        <v>39</v>
      </c>
      <c r="H1" s="10" t="s">
        <v>19</v>
      </c>
      <c r="I1" s="447" t="s">
        <v>164</v>
      </c>
      <c r="J1" s="448"/>
      <c r="K1" s="448"/>
      <c r="L1" s="448"/>
      <c r="M1" s="449"/>
      <c r="N1" s="10" t="s">
        <v>20</v>
      </c>
      <c r="O1" s="448" t="s">
        <v>13</v>
      </c>
      <c r="P1" s="449"/>
      <c r="Q1" s="117"/>
      <c r="R1" s="447" t="s">
        <v>134</v>
      </c>
      <c r="S1" s="449"/>
      <c r="T1" s="119"/>
      <c r="U1" s="118"/>
      <c r="V1" s="447" t="s">
        <v>14</v>
      </c>
      <c r="W1" s="448"/>
      <c r="X1" s="443" t="s">
        <v>47</v>
      </c>
      <c r="Y1" s="443"/>
      <c r="Z1" s="443" t="s">
        <v>100</v>
      </c>
      <c r="AA1" s="443"/>
      <c r="AB1" s="443"/>
      <c r="AC1" s="97"/>
    </row>
    <row r="2" spans="1:29" ht="17.25" customHeight="1" collapsed="1">
      <c r="A2" s="446"/>
      <c r="B2" s="94"/>
      <c r="D2" s="175"/>
      <c r="E2" s="176"/>
      <c r="F2" s="176"/>
      <c r="G2" s="176"/>
      <c r="H2" s="132"/>
      <c r="I2" s="124" t="s">
        <v>142</v>
      </c>
      <c r="J2" s="177" t="s">
        <v>141</v>
      </c>
      <c r="K2" s="178"/>
      <c r="L2" s="177" t="s">
        <v>38</v>
      </c>
      <c r="M2" s="124" t="s">
        <v>88</v>
      </c>
      <c r="N2" s="124"/>
      <c r="O2" s="124" t="s">
        <v>127</v>
      </c>
      <c r="P2" s="124" t="s">
        <v>151</v>
      </c>
      <c r="Q2" s="126"/>
      <c r="R2" s="127" t="s">
        <v>11</v>
      </c>
      <c r="S2" s="127" t="s">
        <v>12</v>
      </c>
      <c r="T2" s="127" t="s">
        <v>13</v>
      </c>
      <c r="U2" s="150"/>
      <c r="V2" s="444"/>
      <c r="W2" s="445"/>
      <c r="X2" s="16" t="s">
        <v>11</v>
      </c>
      <c r="Y2" s="17" t="s">
        <v>48</v>
      </c>
      <c r="Z2" s="17" t="str">
        <f>Pos_Hilfstabelle!$B$125</f>
        <v>on track</v>
      </c>
      <c r="AA2" s="17" t="str">
        <f>Pos_Hilfstabelle!$B$126</f>
        <v>critical</v>
      </c>
      <c r="AB2" s="17" t="str">
        <f>Pos_Hilfstabelle!$B$127</f>
        <v>overdue</v>
      </c>
    </row>
    <row r="3" spans="1:29" ht="19.5" hidden="1" customHeight="1" outlineLevel="1">
      <c r="A3" s="446"/>
      <c r="B3" s="94"/>
      <c r="D3" s="147"/>
      <c r="E3" s="147"/>
      <c r="F3" s="148"/>
      <c r="G3" s="148"/>
      <c r="H3" s="261"/>
      <c r="I3" s="259"/>
      <c r="J3" s="258"/>
      <c r="K3" s="237"/>
      <c r="L3" s="258"/>
      <c r="M3" s="237" t="str">
        <f ca="1">IF(ISBLANK(L3),"",NETWORKDAYS(TODAY(),L3))</f>
        <v/>
      </c>
      <c r="N3" s="256"/>
      <c r="O3" s="236"/>
      <c r="P3" s="236"/>
      <c r="Q3" s="130" t="s">
        <v>67</v>
      </c>
      <c r="R3" s="151">
        <f>IF(OR($J$3="",$L$3=""),0,NETWORKDAYS($J$3,$L$3))</f>
        <v>0</v>
      </c>
      <c r="S3" s="151">
        <f ca="1">IF(OR($J$3="",$L$3=""),0,NETWORKDAYS(TODAY(),$L$3))</f>
        <v>0</v>
      </c>
      <c r="T3" s="152">
        <f>IF(R3=0,0,(R3-S3)/R3)</f>
        <v>0</v>
      </c>
      <c r="U3" s="149"/>
      <c r="V3" s="61">
        <f ca="1">IFERROR(($R$3-$S$3)-($R$5-$S$5)*($R$3/$R$5),0)</f>
        <v>0</v>
      </c>
      <c r="W3" s="62" t="str">
        <f>IF($R$3=0,"",$V$3/$R$3)</f>
        <v/>
      </c>
      <c r="X3" s="17">
        <v>0</v>
      </c>
      <c r="Y3" s="17">
        <v>0</v>
      </c>
      <c r="Z3" s="17">
        <f ca="1">COUNTIF($Z$7:$Z$8,Pos_Hilfstabelle!$B$125)</f>
        <v>0</v>
      </c>
      <c r="AA3" s="17">
        <f ca="1">COUNTIF($Z$7:$Z$8,Pos_Hilfstabelle!$B$126)</f>
        <v>0</v>
      </c>
      <c r="AB3" s="17">
        <f ca="1">COUNTIF($Z$7:$Z$8,Pos_Hilfstabelle!$B$127)</f>
        <v>0</v>
      </c>
    </row>
    <row r="4" spans="1:29" ht="19.5" customHeight="1">
      <c r="A4" s="446"/>
      <c r="B4" s="94"/>
      <c r="G4" s="123"/>
      <c r="H4" s="260" t="s">
        <v>298</v>
      </c>
      <c r="L4" s="121"/>
      <c r="N4" s="257"/>
      <c r="Q4" s="130" t="s">
        <v>3</v>
      </c>
      <c r="R4" s="61">
        <f>Projekteinstellungen!$B$21*1500</f>
        <v>1500</v>
      </c>
      <c r="S4" s="61">
        <v>0</v>
      </c>
      <c r="T4" s="152">
        <f>IF(R4=0,0,(R4-S4)/R4)</f>
        <v>1</v>
      </c>
      <c r="U4" s="131"/>
      <c r="V4" s="61">
        <f>($R$4-$S$4)-($R$5-$S$5)</f>
        <v>1500</v>
      </c>
      <c r="W4" s="62">
        <f>IF($R$4=0,"",$V$4/$R$4)</f>
        <v>1</v>
      </c>
      <c r="X4" s="17">
        <f>Projekteinstellungen!$B$21*1500</f>
        <v>1500</v>
      </c>
    </row>
    <row r="5" spans="1:29" ht="19.5" customHeight="1" thickBot="1">
      <c r="A5" s="266"/>
      <c r="B5" s="94"/>
      <c r="G5" s="123"/>
      <c r="L5" s="121"/>
      <c r="M5" s="122"/>
      <c r="Q5" s="128" t="s">
        <v>136</v>
      </c>
      <c r="R5" s="129">
        <f>SUM($R$8)</f>
        <v>0</v>
      </c>
      <c r="S5" s="129">
        <f>SUM($S$8)</f>
        <v>0</v>
      </c>
      <c r="T5" s="144">
        <f>IF(R5=0,0,(R5-S5)/R5)</f>
        <v>0</v>
      </c>
      <c r="U5" s="131"/>
      <c r="V5" s="125"/>
      <c r="W5" s="120"/>
      <c r="Z5" s="17"/>
      <c r="AA5" s="17"/>
      <c r="AB5" s="17"/>
    </row>
    <row r="6" spans="1:29" ht="15" customHeight="1">
      <c r="V6" s="71"/>
      <c r="W6" s="70"/>
      <c r="Z6" s="17"/>
    </row>
    <row r="7" spans="1:29" ht="15" customHeight="1">
      <c r="V7" s="71"/>
      <c r="W7" s="70"/>
      <c r="Z7" s="17"/>
    </row>
    <row r="8" spans="1:29" ht="15" customHeight="1">
      <c r="E8" s="298"/>
      <c r="F8" s="217"/>
      <c r="G8" s="217"/>
      <c r="H8" s="217"/>
      <c r="I8" s="218"/>
      <c r="J8" s="219"/>
      <c r="K8" s="240">
        <f ca="1">IF(OR(J8="",L8=""),0,IF(NETWORKDAYS(J8,TODAY())/NETWORKDAYS(J8,L8)&gt;1,1,NETWORKDAYS(J8,TODAY())/NETWORKDAYS(J8,L8)))</f>
        <v>0</v>
      </c>
      <c r="L8" s="220"/>
      <c r="M8" s="263" t="str">
        <f ca="1">IF(P8&gt;=1,"Done",IF(ISBLANK(L8),"",NETWORKDAYS(TODAY(),L8)))</f>
        <v/>
      </c>
      <c r="N8" s="215"/>
      <c r="O8" s="230">
        <v>0</v>
      </c>
      <c r="P8" s="230">
        <v>0</v>
      </c>
      <c r="Q8" s="299"/>
      <c r="R8" s="228">
        <v>0</v>
      </c>
      <c r="S8" s="228">
        <f>R8/(1-O8)*(1-P8)</f>
        <v>0</v>
      </c>
      <c r="V8" s="71"/>
      <c r="W8" s="70"/>
      <c r="X8" s="17">
        <v>0</v>
      </c>
      <c r="Y8" s="17">
        <v>0</v>
      </c>
      <c r="Z8" s="66" t="str">
        <f ca="1">IF(M8="","tbd",IF(M8="Done","",IF(M8&lt;0,Pos_Hilfstabelle!$B$127,IF(M8-S8&lt;0,Pos_Hilfstabelle!$B$126,Pos_Hilfstabelle!$B$125))))</f>
        <v>tbd</v>
      </c>
    </row>
    <row r="9" spans="1:29" ht="15" customHeight="1">
      <c r="R9" s="96"/>
      <c r="S9" s="96"/>
      <c r="X9" s="17" t="s">
        <v>2</v>
      </c>
    </row>
    <row r="10" spans="1:29" ht="15" customHeight="1">
      <c r="R10" s="96"/>
      <c r="S10" s="96"/>
    </row>
    <row r="11" spans="1:29" ht="15" customHeight="1">
      <c r="R11" s="96"/>
      <c r="S11" s="96"/>
    </row>
    <row r="12" spans="1:29" ht="15" customHeight="1">
      <c r="R12" s="96"/>
      <c r="S12" s="96"/>
    </row>
    <row r="13" spans="1:29" ht="15" customHeight="1">
      <c r="G13" s="297"/>
      <c r="H13" s="297"/>
      <c r="I13" s="297"/>
      <c r="J13" s="297"/>
      <c r="K13" s="297"/>
      <c r="L13" s="297"/>
      <c r="M13" s="297"/>
      <c r="N13" s="297"/>
      <c r="O13" s="297"/>
      <c r="P13" s="297"/>
    </row>
    <row r="14" spans="1:29" ht="15" customHeight="1">
      <c r="G14" s="297"/>
      <c r="H14" s="297"/>
      <c r="I14" s="297"/>
      <c r="J14" s="297"/>
      <c r="K14" s="297"/>
      <c r="L14" s="297"/>
      <c r="M14" s="297"/>
      <c r="N14" s="297"/>
      <c r="O14" s="297"/>
      <c r="P14" s="297"/>
      <c r="R14" s="96"/>
    </row>
    <row r="15" spans="1:29" ht="15" customHeight="1">
      <c r="G15" s="297"/>
      <c r="H15" s="297"/>
      <c r="I15" s="297"/>
      <c r="J15" s="297"/>
      <c r="K15" s="297"/>
      <c r="L15" s="297"/>
      <c r="M15" s="297"/>
      <c r="N15" s="297"/>
      <c r="O15" s="297"/>
      <c r="P15" s="297"/>
    </row>
    <row r="16" spans="1:29" ht="15" customHeight="1">
      <c r="G16" s="297"/>
      <c r="H16" s="297"/>
      <c r="I16" s="297"/>
      <c r="J16" s="297"/>
      <c r="K16" s="297"/>
      <c r="L16" s="297"/>
      <c r="M16" s="297"/>
      <c r="N16" s="297"/>
      <c r="O16" s="297"/>
      <c r="P16" s="297"/>
    </row>
    <row r="17" spans="7:16" ht="15" customHeight="1">
      <c r="G17" s="297"/>
      <c r="H17" s="297"/>
      <c r="I17" s="297"/>
      <c r="J17" s="297"/>
      <c r="K17" s="297"/>
      <c r="L17" s="297"/>
      <c r="M17" s="297"/>
      <c r="N17" s="297"/>
      <c r="O17" s="297"/>
      <c r="P17" s="297"/>
    </row>
    <row r="18" spans="7:16" ht="15" customHeight="1">
      <c r="G18" s="297"/>
      <c r="H18" s="297"/>
      <c r="I18" s="297"/>
      <c r="J18" s="297"/>
      <c r="K18" s="297"/>
      <c r="L18" s="297"/>
      <c r="M18" s="297"/>
      <c r="N18" s="297"/>
      <c r="O18" s="297"/>
      <c r="P18" s="297"/>
    </row>
    <row r="19" spans="7:16" ht="15" customHeight="1">
      <c r="G19" s="297"/>
      <c r="H19" s="297"/>
      <c r="I19" s="297"/>
      <c r="J19" s="297"/>
      <c r="K19" s="297"/>
      <c r="L19" s="297"/>
      <c r="M19" s="297"/>
      <c r="N19" s="297"/>
      <c r="O19" s="297"/>
      <c r="P19" s="297"/>
    </row>
  </sheetData>
  <dataConsolidate/>
  <mergeCells count="8">
    <mergeCell ref="Z1:AB1"/>
    <mergeCell ref="V2:W2"/>
    <mergeCell ref="A1:A4"/>
    <mergeCell ref="I1:M1"/>
    <mergeCell ref="O1:P1"/>
    <mergeCell ref="R1:S1"/>
    <mergeCell ref="V1:W1"/>
    <mergeCell ref="X1:Y1"/>
  </mergeCells>
  <conditionalFormatting sqref="M5 M2:M3">
    <cfRule type="cellIs" dxfId="488" priority="105" operator="lessThan">
      <formula>0</formula>
    </cfRule>
    <cfRule type="cellIs" dxfId="487" priority="106" operator="lessThan">
      <formula>$S$4+#REF!</formula>
    </cfRule>
    <cfRule type="cellIs" dxfId="486" priority="107" operator="lessThan">
      <formula>5</formula>
    </cfRule>
  </conditionalFormatting>
  <conditionalFormatting sqref="T3:T5">
    <cfRule type="dataBar" priority="98">
      <dataBar>
        <cfvo type="num" val="0"/>
        <cfvo type="num" val="1"/>
        <color rgb="FF9AC7F0"/>
      </dataBar>
      <extLst>
        <ext xmlns:x14="http://schemas.microsoft.com/office/spreadsheetml/2009/9/main" uri="{B025F937-C7B1-47D3-B67F-A62EFF666E3E}">
          <x14:id>{0C4394AE-7581-4209-A3CA-EFE02523FB3F}</x14:id>
        </ext>
      </extLst>
    </cfRule>
  </conditionalFormatting>
  <conditionalFormatting sqref="W3:W4">
    <cfRule type="containsBlanks" dxfId="485" priority="88">
      <formula>LEN(TRIM(W3))=0</formula>
    </cfRule>
    <cfRule type="cellIs" dxfId="484" priority="90" operator="greaterThan">
      <formula>0</formula>
    </cfRule>
    <cfRule type="cellIs" dxfId="483" priority="91" operator="lessThanOrEqual">
      <formula>0</formula>
    </cfRule>
  </conditionalFormatting>
  <conditionalFormatting sqref="S4">
    <cfRule type="cellIs" dxfId="482" priority="73" operator="lessThan">
      <formula>0</formula>
    </cfRule>
  </conditionalFormatting>
  <conditionalFormatting sqref="T4">
    <cfRule type="cellIs" dxfId="481" priority="72" operator="greaterThan">
      <formula>1</formula>
    </cfRule>
  </conditionalFormatting>
  <conditionalFormatting sqref="J3">
    <cfRule type="notContainsBlanks" dxfId="480" priority="52">
      <formula>LEN(TRIM(J3))&gt;0</formula>
    </cfRule>
  </conditionalFormatting>
  <conditionalFormatting sqref="L3">
    <cfRule type="notContainsBlanks" dxfId="479" priority="51">
      <formula>LEN(TRIM(L3))&gt;0</formula>
    </cfRule>
  </conditionalFormatting>
  <conditionalFormatting sqref="M3">
    <cfRule type="notContainsBlanks" dxfId="478" priority="50">
      <formula>LEN(TRIM(M3))&gt;0</formula>
    </cfRule>
  </conditionalFormatting>
  <conditionalFormatting sqref="I3">
    <cfRule type="expression" dxfId="477" priority="48">
      <formula>AND(J3&lt;&gt;"",J3&lt;=TODAY(),P3&lt;1)</formula>
    </cfRule>
  </conditionalFormatting>
  <conditionalFormatting sqref="H3">
    <cfRule type="expression" dxfId="476" priority="47">
      <formula>IF($H$4&lt;&gt;"",TRUE,FALSE)</formula>
    </cfRule>
  </conditionalFormatting>
  <conditionalFormatting sqref="H4">
    <cfRule type="notContainsBlanks" dxfId="475" priority="11">
      <formula>LEN(TRIM(H4))&gt;0</formula>
    </cfRule>
  </conditionalFormatting>
  <conditionalFormatting sqref="I8">
    <cfRule type="expression" dxfId="474" priority="10">
      <formula>AND(J8&lt;&gt;"",J8&lt;=TODAY(),P8&lt;1)</formula>
    </cfRule>
  </conditionalFormatting>
  <conditionalFormatting sqref="P8">
    <cfRule type="dataBar" priority="9">
      <dataBar>
        <cfvo type="num" val="0"/>
        <cfvo type="num" val="1"/>
        <color rgb="FF9AC7F0"/>
      </dataBar>
      <extLst>
        <ext xmlns:x14="http://schemas.microsoft.com/office/spreadsheetml/2009/9/main" uri="{B025F937-C7B1-47D3-B67F-A62EFF666E3E}">
          <x14:id>{10D91146-BA0E-4550-9652-97587EBD02C0}</x14:id>
        </ext>
      </extLst>
    </cfRule>
  </conditionalFormatting>
  <conditionalFormatting sqref="O8">
    <cfRule type="dataBar" priority="8">
      <dataBar>
        <cfvo type="num" val="0"/>
        <cfvo type="num" val="1"/>
        <color rgb="FF9AC7F0"/>
      </dataBar>
      <extLst>
        <ext xmlns:x14="http://schemas.microsoft.com/office/spreadsheetml/2009/9/main" uri="{B025F937-C7B1-47D3-B67F-A62EFF666E3E}">
          <x14:id>{725B8219-3884-440A-8212-EBC9B65CBD5F}</x14:id>
        </ext>
      </extLst>
    </cfRule>
  </conditionalFormatting>
  <conditionalFormatting sqref="K8">
    <cfRule type="expression" priority="5">
      <formula>IF(M8="Done",TRUE,FALSE)</formula>
    </cfRule>
    <cfRule type="cellIs" dxfId="473" priority="6" operator="greaterThan">
      <formula>P8</formula>
    </cfRule>
    <cfRule type="dataBar" priority="7">
      <dataBar>
        <cfvo type="num" val="0"/>
        <cfvo type="num" val="1"/>
        <color rgb="FF9AC7F0"/>
      </dataBar>
      <extLst>
        <ext xmlns:x14="http://schemas.microsoft.com/office/spreadsheetml/2009/9/main" uri="{B025F937-C7B1-47D3-B67F-A62EFF666E3E}">
          <x14:id>{ABD94100-D1AE-4B97-94A9-4BDC7ECCECB4}</x14:id>
        </ext>
      </extLst>
    </cfRule>
  </conditionalFormatting>
  <conditionalFormatting sqref="M8">
    <cfRule type="cellIs" dxfId="472" priority="2" operator="lessThan">
      <formula>0</formula>
    </cfRule>
    <cfRule type="cellIs" dxfId="471" priority="3" operator="lessThan">
      <formula>S8</formula>
    </cfRule>
    <cfRule type="cellIs" dxfId="470" priority="4" operator="lessThan">
      <formula>5</formula>
    </cfRule>
  </conditionalFormatting>
  <conditionalFormatting sqref="M8">
    <cfRule type="cellIs" dxfId="469" priority="1" operator="equal">
      <formula>"Done"</formula>
    </cfRule>
  </conditionalFormatting>
  <dataValidations count="1">
    <dataValidation allowBlank="1" showInputMessage="1" showErrorMessage="1" sqref="F8 O8:P8" xr:uid="{9C95E60D-7823-4DE7-A0DC-A1026DCCB390}"/>
  </dataValidations>
  <pageMargins left="0.7" right="0.7" top="0.78740157499999996" bottom="0.78740157499999996"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0C4394AE-7581-4209-A3CA-EFE02523FB3F}">
            <x14:dataBar minLength="0" maxLength="100" gradient="0">
              <x14:cfvo type="num">
                <xm:f>0</xm:f>
              </x14:cfvo>
              <x14:cfvo type="num">
                <xm:f>1</xm:f>
              </x14:cfvo>
              <x14:negativeFillColor rgb="FFFF0000"/>
              <x14:axisColor rgb="FF000000"/>
            </x14:dataBar>
          </x14:cfRule>
          <xm:sqref>T3:T5</xm:sqref>
        </x14:conditionalFormatting>
        <x14:conditionalFormatting xmlns:xm="http://schemas.microsoft.com/office/excel/2006/main">
          <x14:cfRule type="dataBar" id="{10D91146-BA0E-4550-9652-97587EBD02C0}">
            <x14:dataBar minLength="0" maxLength="100" gradient="0">
              <x14:cfvo type="num">
                <xm:f>0</xm:f>
              </x14:cfvo>
              <x14:cfvo type="num">
                <xm:f>1</xm:f>
              </x14:cfvo>
              <x14:negativeFillColor rgb="FFFF0000"/>
              <x14:axisColor rgb="FF000000"/>
            </x14:dataBar>
          </x14:cfRule>
          <xm:sqref>P8</xm:sqref>
        </x14:conditionalFormatting>
        <x14:conditionalFormatting xmlns:xm="http://schemas.microsoft.com/office/excel/2006/main">
          <x14:cfRule type="dataBar" id="{725B8219-3884-440A-8212-EBC9B65CBD5F}">
            <x14:dataBar minLength="0" maxLength="100" gradient="0">
              <x14:cfvo type="num">
                <xm:f>0</xm:f>
              </x14:cfvo>
              <x14:cfvo type="num">
                <xm:f>1</xm:f>
              </x14:cfvo>
              <x14:negativeFillColor rgb="FFFF0000"/>
              <x14:axisColor rgb="FF000000"/>
            </x14:dataBar>
          </x14:cfRule>
          <xm:sqref>O8</xm:sqref>
        </x14:conditionalFormatting>
        <x14:conditionalFormatting xmlns:xm="http://schemas.microsoft.com/office/excel/2006/main">
          <x14:cfRule type="dataBar" id="{ABD94100-D1AE-4B97-94A9-4BDC7ECCECB4}">
            <x14:dataBar minLength="0" maxLength="100" gradient="0">
              <x14:cfvo type="num">
                <xm:f>0</xm:f>
              </x14:cfvo>
              <x14:cfvo type="num">
                <xm:f>1</xm:f>
              </x14:cfvo>
              <x14:negativeFillColor rgb="FFFF0000"/>
              <x14:axisColor rgb="FF000000"/>
            </x14:dataBar>
          </x14:cfRule>
          <xm:sqref>K8</xm:sqref>
        </x14:conditionalFormatting>
        <x14:conditionalFormatting xmlns:xm="http://schemas.microsoft.com/office/excel/2006/main">
          <x14:cfRule type="cellIs" priority="76" operator="lessThan" id="{7DD08122-3866-47E1-88C5-94B13CC51B49}">
            <xm:f>(1-Projekteinstellungen!$K$9)*$R$4</xm:f>
            <x14:dxf>
              <fill>
                <patternFill patternType="solid">
                  <fgColor auto="1"/>
                  <bgColor rgb="FFFFD966"/>
                </patternFill>
              </fill>
            </x14:dxf>
          </x14:cfRule>
          <x14:cfRule type="cellIs" priority="77" operator="greaterThan" id="{E64F4214-90FF-426E-AF58-5D0FA1387F00}">
            <xm:f>(1+Projekteinstellungen!$K$9)*$R$4</xm:f>
            <x14:dxf>
              <fill>
                <patternFill patternType="solid">
                  <fgColor auto="1"/>
                  <bgColor rgb="FFF55F5F"/>
                </patternFill>
              </fill>
            </x14:dxf>
          </x14:cfRule>
          <xm:sqref>R5</xm:sqref>
        </x14:conditionalFormatting>
        <x14:conditionalFormatting xmlns:xm="http://schemas.microsoft.com/office/excel/2006/main">
          <x14:cfRule type="cellIs" priority="89" operator="greaterThanOrEqual" id="{99D84ACA-D201-484E-96EF-D3DDB8F71A68}">
            <xm:f>Projekteinstellungen!$C$9</xm:f>
            <x14:dxf>
              <fill>
                <patternFill patternType="solid">
                  <fgColor auto="1"/>
                  <bgColor rgb="FFF55F5F"/>
                </patternFill>
              </fill>
            </x14:dxf>
          </x14:cfRule>
          <xm:sqref>W3:W4</xm:sqref>
        </x14:conditionalFormatting>
        <x14:conditionalFormatting xmlns:xm="http://schemas.microsoft.com/office/excel/2006/main">
          <x14:cfRule type="cellIs" priority="75" operator="greaterThan" id="{CBBD4CCB-7113-4919-BBC3-FE54CE364CA1}">
            <xm:f>(1+Projekteinstellungen!$K$9)*$S$4</xm:f>
            <x14:dxf>
              <fill>
                <patternFill patternType="solid">
                  <fgColor auto="1"/>
                  <bgColor rgb="FFF55F5F"/>
                </patternFill>
              </fill>
            </x14:dxf>
          </x14:cfRule>
          <xm:sqref>S5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3303BE61-BE25-43E6-BC5B-0B956E830C16}">
          <x14:formula1>
            <xm:f>Projekteinstellungen!$B$37:$B$57</xm:f>
          </x14:formula1>
          <xm:sqref>N4 N8</xm:sqref>
        </x14:dataValidation>
        <x14:dataValidation type="list" allowBlank="1" showInputMessage="1" showErrorMessage="1" xr:uid="{BD4063EE-B21B-465F-95D9-6CC69E9FABEE}">
          <x14:formula1>
            <xm:f>Projekteinstellungen!$B$32:$B$33</xm:f>
          </x14:formula1>
          <xm:sqref>E8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47C93-AEB2-4436-B68A-2111F1795CA9}">
  <sheetPr codeName="Tabelle2"/>
  <dimension ref="A1:BH47"/>
  <sheetViews>
    <sheetView zoomScale="85" zoomScaleNormal="85" workbookViewId="0">
      <pane xSplit="4" ySplit="4" topLeftCell="E21" activePane="bottomRight" state="frozen"/>
      <selection activeCell="E41" sqref="E41"/>
      <selection pane="topRight" activeCell="E41" sqref="E41"/>
      <selection pane="bottomLeft" activeCell="E41" sqref="E41"/>
      <selection pane="bottomRight" activeCell="I40" sqref="I40"/>
    </sheetView>
  </sheetViews>
  <sheetFormatPr baseColWidth="10" defaultRowHeight="14.25"/>
  <cols>
    <col min="1" max="1" width="2.7109375" style="265" customWidth="1"/>
    <col min="2" max="2" width="2.5703125" style="2" customWidth="1"/>
    <col min="3" max="3" width="19" style="2" customWidth="1"/>
    <col min="4" max="4" width="15.140625" style="2" customWidth="1"/>
    <col min="5" max="58" width="7.7109375" style="2" customWidth="1"/>
    <col min="59" max="16384" width="11.42578125" style="2"/>
  </cols>
  <sheetData>
    <row r="1" spans="1:58" ht="24.95" customHeight="1">
      <c r="A1" s="455" t="s">
        <v>131</v>
      </c>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row>
    <row r="2" spans="1:58" ht="15">
      <c r="A2" s="456"/>
      <c r="C2" s="112" t="s">
        <v>143</v>
      </c>
      <c r="D2" s="113"/>
      <c r="E2" s="271">
        <v>45078</v>
      </c>
      <c r="F2" s="271"/>
      <c r="G2" s="271"/>
      <c r="H2" s="271"/>
      <c r="I2" s="271"/>
      <c r="J2" s="271"/>
      <c r="K2" s="271"/>
      <c r="L2" s="271"/>
      <c r="M2" s="271"/>
      <c r="N2" s="271"/>
      <c r="O2" s="271"/>
      <c r="P2" s="271"/>
      <c r="Q2" s="271"/>
      <c r="R2" s="271"/>
      <c r="S2" s="271"/>
      <c r="T2" s="271"/>
      <c r="U2" s="271"/>
      <c r="V2" s="271"/>
      <c r="W2" s="271"/>
      <c r="X2" s="271"/>
      <c r="Y2" s="271"/>
      <c r="Z2" s="271"/>
      <c r="AA2" s="271"/>
      <c r="AB2" s="271"/>
      <c r="AC2" s="271"/>
      <c r="AD2" s="271"/>
      <c r="AE2" s="271"/>
      <c r="AF2" s="271"/>
      <c r="AG2" s="271"/>
      <c r="AH2" s="271"/>
      <c r="AI2" s="271"/>
      <c r="AJ2" s="273">
        <v>2024</v>
      </c>
      <c r="AK2" s="271"/>
      <c r="AL2" s="271"/>
      <c r="AM2" s="271"/>
      <c r="AN2" s="271"/>
      <c r="AO2" s="271"/>
      <c r="AP2" s="271"/>
      <c r="AQ2" s="271"/>
      <c r="AR2" s="271"/>
      <c r="AS2" s="271"/>
      <c r="AT2" s="271"/>
      <c r="AU2" s="271"/>
      <c r="AV2" s="271"/>
      <c r="AW2" s="271"/>
      <c r="AX2" s="271"/>
      <c r="AY2" s="271"/>
      <c r="AZ2" s="271"/>
      <c r="BA2" s="271"/>
      <c r="BB2" s="271"/>
      <c r="BC2" s="271"/>
      <c r="BD2" s="271"/>
      <c r="BE2" s="269">
        <v>45443</v>
      </c>
      <c r="BF2" s="164"/>
    </row>
    <row r="3" spans="1:58" ht="15">
      <c r="A3" s="456"/>
      <c r="C3" s="274"/>
      <c r="D3" s="490"/>
      <c r="E3" s="452" t="s">
        <v>242</v>
      </c>
      <c r="F3" s="452"/>
      <c r="G3" s="452"/>
      <c r="H3" s="452"/>
      <c r="I3" s="452"/>
      <c r="J3" s="450" t="s">
        <v>243</v>
      </c>
      <c r="K3" s="450"/>
      <c r="L3" s="450"/>
      <c r="M3" s="450"/>
      <c r="N3" s="452" t="s">
        <v>244</v>
      </c>
      <c r="O3" s="452"/>
      <c r="P3" s="452"/>
      <c r="Q3" s="452"/>
      <c r="R3" s="452"/>
      <c r="S3" s="450" t="s">
        <v>245</v>
      </c>
      <c r="T3" s="450"/>
      <c r="U3" s="450"/>
      <c r="V3" s="450"/>
      <c r="W3" s="452" t="s">
        <v>246</v>
      </c>
      <c r="X3" s="452"/>
      <c r="Y3" s="452"/>
      <c r="Z3" s="452"/>
      <c r="AA3" s="450" t="s">
        <v>247</v>
      </c>
      <c r="AB3" s="450"/>
      <c r="AC3" s="450"/>
      <c r="AD3" s="450"/>
      <c r="AE3" s="450"/>
      <c r="AF3" s="452" t="s">
        <v>248</v>
      </c>
      <c r="AG3" s="452"/>
      <c r="AH3" s="452"/>
      <c r="AI3" s="452"/>
      <c r="AJ3" s="450" t="s">
        <v>249</v>
      </c>
      <c r="AK3" s="450"/>
      <c r="AL3" s="450"/>
      <c r="AM3" s="450"/>
      <c r="AN3" s="452" t="s">
        <v>250</v>
      </c>
      <c r="AO3" s="452"/>
      <c r="AP3" s="452"/>
      <c r="AQ3" s="452"/>
      <c r="AR3" s="452"/>
      <c r="AS3" s="450" t="s">
        <v>251</v>
      </c>
      <c r="AT3" s="450"/>
      <c r="AU3" s="450"/>
      <c r="AV3" s="450"/>
      <c r="AW3" s="452" t="s">
        <v>252</v>
      </c>
      <c r="AX3" s="452"/>
      <c r="AY3" s="452"/>
      <c r="AZ3" s="452"/>
      <c r="BA3" s="450" t="s">
        <v>253</v>
      </c>
      <c r="BB3" s="450"/>
      <c r="BC3" s="450"/>
      <c r="BD3" s="450"/>
      <c r="BE3" s="451"/>
      <c r="BF3" s="161"/>
    </row>
    <row r="4" spans="1:58" ht="15">
      <c r="C4" s="274"/>
      <c r="D4" s="490"/>
      <c r="E4" s="491" t="s">
        <v>192</v>
      </c>
      <c r="F4" s="491" t="s">
        <v>193</v>
      </c>
      <c r="G4" s="491" t="s">
        <v>194</v>
      </c>
      <c r="H4" s="491" t="s">
        <v>195</v>
      </c>
      <c r="I4" s="491" t="s">
        <v>196</v>
      </c>
      <c r="J4" s="492" t="s">
        <v>197</v>
      </c>
      <c r="K4" s="492" t="s">
        <v>198</v>
      </c>
      <c r="L4" s="492" t="s">
        <v>199</v>
      </c>
      <c r="M4" s="492" t="s">
        <v>200</v>
      </c>
      <c r="N4" s="491" t="s">
        <v>201</v>
      </c>
      <c r="O4" s="491" t="s">
        <v>202</v>
      </c>
      <c r="P4" s="491" t="s">
        <v>203</v>
      </c>
      <c r="Q4" s="491" t="s">
        <v>204</v>
      </c>
      <c r="R4" s="491" t="s">
        <v>205</v>
      </c>
      <c r="S4" s="492" t="s">
        <v>206</v>
      </c>
      <c r="T4" s="492" t="s">
        <v>207</v>
      </c>
      <c r="U4" s="492" t="s">
        <v>208</v>
      </c>
      <c r="V4" s="377" t="s">
        <v>209</v>
      </c>
      <c r="W4" s="379" t="s">
        <v>210</v>
      </c>
      <c r="X4" s="379" t="s">
        <v>211</v>
      </c>
      <c r="Y4" s="290" t="s">
        <v>212</v>
      </c>
      <c r="Z4" s="491" t="s">
        <v>213</v>
      </c>
      <c r="AA4" s="492" t="s">
        <v>214</v>
      </c>
      <c r="AB4" s="492" t="s">
        <v>215</v>
      </c>
      <c r="AC4" s="492" t="s">
        <v>216</v>
      </c>
      <c r="AD4" s="492" t="s">
        <v>217</v>
      </c>
      <c r="AE4" s="492" t="s">
        <v>218</v>
      </c>
      <c r="AF4" s="491" t="s">
        <v>219</v>
      </c>
      <c r="AG4" s="491" t="s">
        <v>220</v>
      </c>
      <c r="AH4" s="491" t="s">
        <v>221</v>
      </c>
      <c r="AI4" s="491" t="s">
        <v>222</v>
      </c>
      <c r="AJ4" s="492" t="s">
        <v>223</v>
      </c>
      <c r="AK4" s="492" t="s">
        <v>224</v>
      </c>
      <c r="AL4" s="492" t="s">
        <v>225</v>
      </c>
      <c r="AM4" s="492" t="s">
        <v>226</v>
      </c>
      <c r="AN4" s="491" t="s">
        <v>227</v>
      </c>
      <c r="AO4" s="491" t="s">
        <v>228</v>
      </c>
      <c r="AP4" s="491" t="s">
        <v>229</v>
      </c>
      <c r="AQ4" s="491" t="s">
        <v>230</v>
      </c>
      <c r="AR4" s="491" t="s">
        <v>231</v>
      </c>
      <c r="AS4" s="492" t="s">
        <v>232</v>
      </c>
      <c r="AT4" s="492" t="s">
        <v>17</v>
      </c>
      <c r="AU4" s="492" t="s">
        <v>46</v>
      </c>
      <c r="AV4" s="492" t="s">
        <v>233</v>
      </c>
      <c r="AW4" s="491" t="s">
        <v>234</v>
      </c>
      <c r="AX4" s="491" t="s">
        <v>235</v>
      </c>
      <c r="AY4" s="491" t="s">
        <v>236</v>
      </c>
      <c r="AZ4" s="491" t="s">
        <v>237</v>
      </c>
      <c r="BA4" s="492" t="s">
        <v>238</v>
      </c>
      <c r="BB4" s="492" t="s">
        <v>239</v>
      </c>
      <c r="BC4" s="492" t="s">
        <v>240</v>
      </c>
      <c r="BD4" s="492" t="s">
        <v>241</v>
      </c>
      <c r="BE4" s="276" t="s">
        <v>192</v>
      </c>
      <c r="BF4" s="161"/>
    </row>
    <row r="5" spans="1:58" ht="15">
      <c r="C5" s="277" t="s">
        <v>145</v>
      </c>
      <c r="D5" s="278"/>
      <c r="E5" s="279">
        <v>45078</v>
      </c>
      <c r="F5" s="279"/>
      <c r="G5" s="279"/>
      <c r="H5" s="279"/>
      <c r="I5" s="279"/>
      <c r="J5" s="279"/>
      <c r="K5" s="279"/>
      <c r="L5" s="279"/>
      <c r="M5" s="279"/>
      <c r="N5" s="279"/>
      <c r="O5" s="279"/>
      <c r="P5" s="279"/>
      <c r="Q5" s="279"/>
      <c r="R5" s="279"/>
      <c r="S5" s="279"/>
      <c r="T5" s="279"/>
      <c r="U5" s="279"/>
      <c r="V5" s="279"/>
      <c r="W5" s="279"/>
      <c r="X5" s="279"/>
      <c r="Y5" s="270"/>
      <c r="Z5" s="279"/>
      <c r="AA5" s="279"/>
      <c r="AB5" s="279"/>
      <c r="AC5" s="279"/>
      <c r="AD5" s="279"/>
      <c r="AE5" s="279"/>
      <c r="AF5" s="279"/>
      <c r="AG5" s="279"/>
      <c r="AH5" s="279"/>
      <c r="AI5" s="279"/>
      <c r="AJ5" s="279"/>
      <c r="AK5" s="279"/>
      <c r="AL5" s="279"/>
      <c r="AM5" s="279"/>
      <c r="AN5" s="279"/>
      <c r="AO5" s="279"/>
      <c r="AP5" s="279"/>
      <c r="AQ5" s="279"/>
      <c r="AR5" s="279"/>
      <c r="AS5" s="279"/>
      <c r="AT5" s="279"/>
      <c r="AU5" s="279"/>
      <c r="AV5" s="279"/>
      <c r="AW5" s="279"/>
      <c r="AX5" s="279"/>
      <c r="AY5" s="279"/>
      <c r="AZ5" s="279"/>
      <c r="BA5" s="279"/>
      <c r="BB5" s="279"/>
      <c r="BC5" s="279"/>
      <c r="BD5" s="279"/>
      <c r="BE5" s="280">
        <v>45443</v>
      </c>
      <c r="BF5" s="20"/>
    </row>
    <row r="6" spans="1:58" ht="9" customHeight="1">
      <c r="C6" s="160"/>
      <c r="D6" s="493"/>
      <c r="E6" s="494"/>
      <c r="F6" s="494"/>
      <c r="G6" s="494"/>
      <c r="H6" s="494"/>
      <c r="I6" s="494"/>
      <c r="J6" s="494"/>
      <c r="K6" s="494"/>
      <c r="L6" s="494"/>
      <c r="M6" s="494"/>
      <c r="N6" s="494"/>
      <c r="O6" s="494"/>
      <c r="P6" s="494"/>
      <c r="Q6" s="494"/>
      <c r="R6" s="494"/>
      <c r="S6" s="494"/>
      <c r="T6" s="494"/>
      <c r="U6" s="494"/>
      <c r="V6" s="494"/>
      <c r="W6" s="494"/>
      <c r="X6" s="494"/>
      <c r="Y6" s="494"/>
      <c r="Z6" s="494"/>
      <c r="AA6" s="494"/>
      <c r="AB6" s="494"/>
      <c r="AC6" s="494"/>
      <c r="AD6" s="494"/>
      <c r="AE6" s="494"/>
      <c r="AF6" s="494"/>
      <c r="AG6" s="494"/>
      <c r="AH6" s="494"/>
      <c r="AI6" s="494"/>
      <c r="AJ6" s="494"/>
      <c r="AK6" s="494"/>
      <c r="AL6" s="494"/>
      <c r="AM6" s="494"/>
      <c r="AN6" s="494"/>
      <c r="AO6" s="494"/>
      <c r="AP6" s="494"/>
      <c r="AQ6" s="494"/>
      <c r="AR6" s="494"/>
      <c r="AS6" s="494"/>
      <c r="AT6" s="494"/>
      <c r="AU6" s="494"/>
      <c r="AV6" s="494"/>
      <c r="AW6" s="494"/>
      <c r="AX6" s="494"/>
      <c r="AY6" s="494"/>
      <c r="AZ6" s="494"/>
      <c r="BA6" s="494"/>
      <c r="BB6" s="494"/>
      <c r="BC6" s="494"/>
      <c r="BD6" s="494"/>
      <c r="BE6" s="19"/>
      <c r="BF6" s="20"/>
    </row>
    <row r="7" spans="1:58" ht="15.75" thickBot="1">
      <c r="C7" s="173" t="s">
        <v>172</v>
      </c>
      <c r="D7" s="495">
        <f>SUM(E7:BE7)</f>
        <v>22.25</v>
      </c>
      <c r="E7" s="328"/>
      <c r="F7" s="328"/>
      <c r="G7" s="337"/>
      <c r="H7" s="337"/>
      <c r="I7" s="337">
        <f>4.25*Projekteinstellungen!$B$21</f>
        <v>4.25</v>
      </c>
      <c r="J7" s="337">
        <f>3.25*Projekteinstellungen!$B$21</f>
        <v>3.25</v>
      </c>
      <c r="K7" s="336">
        <f>1.75*Projekteinstellungen!$B$21</f>
        <v>1.75</v>
      </c>
      <c r="L7" s="336">
        <f>3.75*Projekteinstellungen!$B$21</f>
        <v>3.75</v>
      </c>
      <c r="M7" s="337"/>
      <c r="N7" s="337"/>
      <c r="O7" s="336">
        <f>3.5*Projekteinstellungen!$B$21</f>
        <v>3.5</v>
      </c>
      <c r="P7" s="282"/>
      <c r="Q7" s="332">
        <f>3*Projekteinstellungen!$B$21</f>
        <v>3</v>
      </c>
      <c r="R7" s="337"/>
      <c r="S7" s="282">
        <f>2.75*Projekteinstellungen!$B$21</f>
        <v>2.75</v>
      </c>
      <c r="T7" s="328"/>
      <c r="U7" s="330"/>
      <c r="V7" s="330"/>
      <c r="W7" s="337"/>
      <c r="X7" s="337"/>
      <c r="Y7" s="338"/>
      <c r="Z7" s="330"/>
      <c r="AA7" s="332"/>
      <c r="AB7" s="337"/>
      <c r="AC7" s="337"/>
      <c r="AD7" s="337"/>
      <c r="AE7" s="337"/>
      <c r="AF7" s="337"/>
      <c r="AG7" s="337"/>
      <c r="AH7" s="282"/>
      <c r="AI7" s="332"/>
      <c r="AJ7" s="336"/>
      <c r="AK7" s="337"/>
      <c r="AL7" s="337"/>
      <c r="AM7" s="337"/>
      <c r="AN7" s="337"/>
      <c r="AO7" s="337"/>
      <c r="AP7" s="337"/>
      <c r="AQ7" s="337"/>
      <c r="AR7" s="337"/>
      <c r="AS7" s="337"/>
      <c r="AT7" s="337"/>
      <c r="AU7" s="337"/>
      <c r="AV7" s="337"/>
      <c r="AW7" s="337"/>
      <c r="AX7" s="337"/>
      <c r="AY7" s="337"/>
      <c r="AZ7" s="337"/>
      <c r="BA7" s="337"/>
      <c r="BB7" s="337"/>
      <c r="BC7" s="337"/>
      <c r="BD7" s="337"/>
      <c r="BE7" s="331"/>
      <c r="BF7" s="162"/>
    </row>
    <row r="8" spans="1:58" ht="15.75" thickBot="1">
      <c r="C8" s="173" t="s">
        <v>191</v>
      </c>
      <c r="D8" s="495">
        <f t="shared" ref="D8:D25" si="0">SUM(E8:BE8)</f>
        <v>468.5</v>
      </c>
      <c r="E8" s="281"/>
      <c r="F8" s="376">
        <f>16*Projekteinstellungen!$B$21</f>
        <v>16</v>
      </c>
      <c r="G8" s="374">
        <f>16*Projekteinstellungen!$B$21</f>
        <v>16</v>
      </c>
      <c r="H8" s="337">
        <f>22*Projekteinstellungen!$B$21</f>
        <v>22</v>
      </c>
      <c r="I8" s="336">
        <f>36*Projekteinstellungen!$B$21</f>
        <v>36</v>
      </c>
      <c r="J8" s="282">
        <f>38*Projekteinstellungen!$B$21</f>
        <v>38</v>
      </c>
      <c r="K8" s="344">
        <f>32*Projekteinstellungen!$B$21</f>
        <v>32</v>
      </c>
      <c r="L8" s="355">
        <f>30.5*Projekteinstellungen!$B$21</f>
        <v>30.5</v>
      </c>
      <c r="M8" s="337">
        <f>39.5*Projekteinstellungen!$B$21</f>
        <v>39.5</v>
      </c>
      <c r="N8" s="330">
        <f>33.5*Projekteinstellungen!$B$21</f>
        <v>33.5</v>
      </c>
      <c r="O8" s="344"/>
      <c r="P8" s="340"/>
      <c r="Q8" s="373">
        <f>32*Projekteinstellungen!$B$21</f>
        <v>32</v>
      </c>
      <c r="R8" s="330">
        <f>38.5*Projekteinstellungen!$B$21</f>
        <v>38.5</v>
      </c>
      <c r="S8" s="344">
        <f>32.5*Projekteinstellungen!$B$21</f>
        <v>32.5</v>
      </c>
      <c r="T8" s="351">
        <f>34*Projekteinstellungen!$B$21</f>
        <v>34</v>
      </c>
      <c r="U8" s="356"/>
      <c r="V8" s="353">
        <f>41*Projekteinstellungen!$B$21</f>
        <v>41</v>
      </c>
      <c r="W8" s="378">
        <v>1</v>
      </c>
      <c r="X8" s="336">
        <f>16*Projekteinstellungen!$B$21</f>
        <v>16</v>
      </c>
      <c r="Y8" s="380">
        <v>1</v>
      </c>
      <c r="Z8" s="369">
        <v>1</v>
      </c>
      <c r="AA8" s="366">
        <v>1</v>
      </c>
      <c r="AB8" s="369">
        <v>1</v>
      </c>
      <c r="AC8" s="369">
        <v>1</v>
      </c>
      <c r="AD8" s="369">
        <v>1</v>
      </c>
      <c r="AE8" s="369">
        <v>1</v>
      </c>
      <c r="AF8" s="369">
        <v>1</v>
      </c>
      <c r="AG8" s="365">
        <v>1</v>
      </c>
      <c r="AH8" s="360">
        <v>1</v>
      </c>
      <c r="AI8" s="375"/>
      <c r="AJ8" s="358"/>
      <c r="AK8" s="336"/>
      <c r="AL8" s="336"/>
      <c r="AM8" s="336"/>
      <c r="AN8" s="336"/>
      <c r="AO8" s="337"/>
      <c r="AP8" s="337"/>
      <c r="AQ8" s="337"/>
      <c r="AR8" s="337"/>
      <c r="AS8" s="337"/>
      <c r="AT8" s="337"/>
      <c r="AU8" s="337"/>
      <c r="AV8" s="337"/>
      <c r="AW8" s="337"/>
      <c r="AX8" s="337"/>
      <c r="AY8" s="337"/>
      <c r="AZ8" s="337"/>
      <c r="BA8" s="337"/>
      <c r="BB8" s="337"/>
      <c r="BC8" s="337"/>
      <c r="BD8" s="337"/>
      <c r="BE8" s="331"/>
      <c r="BF8" s="162"/>
    </row>
    <row r="9" spans="1:58" ht="15.75" thickBot="1">
      <c r="C9" s="173" t="s">
        <v>190</v>
      </c>
      <c r="D9" s="495">
        <f t="shared" si="0"/>
        <v>294.70000000000027</v>
      </c>
      <c r="E9" s="342"/>
      <c r="F9" s="339">
        <f>14.75*Projekteinstellungen!$B$21</f>
        <v>14.75</v>
      </c>
      <c r="G9" s="355">
        <f>16*Projekteinstellungen!$B$21</f>
        <v>16</v>
      </c>
      <c r="H9" s="282">
        <f>23*Projekteinstellungen!$B$21</f>
        <v>23</v>
      </c>
      <c r="I9" s="343"/>
      <c r="J9" s="350">
        <f>22*Projekteinstellungen!$B$21</f>
        <v>22</v>
      </c>
      <c r="K9" s="357">
        <f>33*Projekteinstellungen!$B$21</f>
        <v>33</v>
      </c>
      <c r="L9" s="352">
        <f>34.25*Projekteinstellungen!$B$21</f>
        <v>34.25</v>
      </c>
      <c r="M9" s="336">
        <f>19.5*Projekteinstellungen!$B$21</f>
        <v>19.5</v>
      </c>
      <c r="N9" s="336">
        <f>15.5*Projekteinstellungen!$B$21</f>
        <v>15.5</v>
      </c>
      <c r="O9" s="349">
        <f>19.5*Projekteinstellungen!$B$21</f>
        <v>19.5</v>
      </c>
      <c r="P9" s="344">
        <f>8.5*Projekteinstellungen!$B$21</f>
        <v>8.5</v>
      </c>
      <c r="Q9" s="355">
        <f>1*Projekteinstellungen!$B$21</f>
        <v>1</v>
      </c>
      <c r="R9" s="337">
        <f>24.75*Projekteinstellungen!$B$21</f>
        <v>24.75</v>
      </c>
      <c r="S9" s="357">
        <f>13.5*Projekteinstellungen!$B$21</f>
        <v>13.5</v>
      </c>
      <c r="T9" s="357">
        <f>11.75*Projekteinstellungen!$B$21</f>
        <v>11.75</v>
      </c>
      <c r="U9" s="356">
        <f>21.5*Projekteinstellungen!$B$21</f>
        <v>21.5</v>
      </c>
      <c r="V9" s="330">
        <f>12*Projekteinstellungen!$B$21</f>
        <v>12</v>
      </c>
      <c r="W9" s="359">
        <v>0.35</v>
      </c>
      <c r="X9" s="368">
        <v>0.35</v>
      </c>
      <c r="Y9" s="380">
        <v>0.35</v>
      </c>
      <c r="Z9" s="369">
        <v>0.35</v>
      </c>
      <c r="AA9" s="367">
        <v>0.35</v>
      </c>
      <c r="AB9" s="369">
        <v>0.35</v>
      </c>
      <c r="AC9" s="367">
        <v>0.35</v>
      </c>
      <c r="AD9" s="369">
        <v>0.35</v>
      </c>
      <c r="AE9" s="369">
        <v>0.35</v>
      </c>
      <c r="AF9" s="369">
        <v>0.35</v>
      </c>
      <c r="AG9" s="365">
        <v>0.35</v>
      </c>
      <c r="AH9" s="359">
        <v>0.35</v>
      </c>
      <c r="AI9" s="340"/>
      <c r="AJ9" s="340"/>
      <c r="AK9" s="348"/>
      <c r="AL9" s="348"/>
      <c r="AM9" s="348"/>
      <c r="AN9" s="355"/>
      <c r="AO9" s="337"/>
      <c r="AP9" s="337"/>
      <c r="AQ9" s="337"/>
      <c r="AR9" s="337"/>
      <c r="AS9" s="337"/>
      <c r="AT9" s="337"/>
      <c r="AU9" s="337"/>
      <c r="AV9" s="337"/>
      <c r="AW9" s="337"/>
      <c r="AX9" s="337"/>
      <c r="AY9" s="337"/>
      <c r="AZ9" s="337"/>
      <c r="BA9" s="337"/>
      <c r="BB9" s="337"/>
      <c r="BC9" s="337"/>
      <c r="BD9" s="337"/>
      <c r="BE9" s="331"/>
      <c r="BF9" s="162"/>
    </row>
    <row r="10" spans="1:58" ht="15.75" thickBot="1">
      <c r="C10" s="173" t="s">
        <v>189</v>
      </c>
      <c r="D10" s="495">
        <f t="shared" si="0"/>
        <v>557.25</v>
      </c>
      <c r="E10" s="344">
        <f>12.25*Projekteinstellungen!$B$21</f>
        <v>12.25</v>
      </c>
      <c r="F10" s="350">
        <f>26.75*Projekteinstellungen!$B$21</f>
        <v>26.75</v>
      </c>
      <c r="G10" s="351">
        <f>37.75*Projekteinstellungen!$B$21</f>
        <v>37.75</v>
      </c>
      <c r="H10" s="344"/>
      <c r="I10" s="340"/>
      <c r="J10" s="350">
        <f>31.25*Projekteinstellungen!$B$21</f>
        <v>31.25</v>
      </c>
      <c r="K10" s="282">
        <f>36.75*Projekteinstellungen!$B$21</f>
        <v>36.75</v>
      </c>
      <c r="L10" s="342">
        <f>13.5*Projekteinstellungen!$B$21</f>
        <v>13.5</v>
      </c>
      <c r="M10" s="339">
        <f>33.75*Projekteinstellungen!$B$21</f>
        <v>33.75</v>
      </c>
      <c r="N10" s="348">
        <f>24.5*Projekteinstellungen!$B$21</f>
        <v>24.5</v>
      </c>
      <c r="O10" s="355">
        <f>31.75*Projekteinstellungen!$B$21</f>
        <v>31.75</v>
      </c>
      <c r="P10" s="357">
        <f>41.5*Projekteinstellungen!$B$21</f>
        <v>41.5</v>
      </c>
      <c r="Q10" s="354">
        <f>38.25*Projekteinstellungen!$B$21</f>
        <v>38.25</v>
      </c>
      <c r="R10" s="337">
        <f>39.75*Projekteinstellungen!$B$21</f>
        <v>39.75</v>
      </c>
      <c r="S10" s="336">
        <f>40.75*Projekteinstellungen!$B$21</f>
        <v>40.75</v>
      </c>
      <c r="T10" s="337">
        <f>42.25*Projekteinstellungen!$B$21</f>
        <v>42.25</v>
      </c>
      <c r="U10" s="337">
        <f>41.75*Projekteinstellungen!$B$21</f>
        <v>41.75</v>
      </c>
      <c r="V10" s="330">
        <f>37*Projekteinstellungen!$B$21</f>
        <v>37</v>
      </c>
      <c r="W10" s="333">
        <f>16.75*Projekteinstellungen!$B$21</f>
        <v>16.75</v>
      </c>
      <c r="X10" s="366">
        <v>1</v>
      </c>
      <c r="Y10" s="380">
        <v>1</v>
      </c>
      <c r="Z10" s="365">
        <v>1</v>
      </c>
      <c r="AA10" s="335">
        <v>1</v>
      </c>
      <c r="AB10" s="365">
        <v>1</v>
      </c>
      <c r="AC10" s="496">
        <v>1</v>
      </c>
      <c r="AD10" s="369">
        <v>1</v>
      </c>
      <c r="AE10" s="369">
        <v>1</v>
      </c>
      <c r="AF10" s="369">
        <v>1</v>
      </c>
      <c r="AG10" s="365">
        <v>1</v>
      </c>
      <c r="AH10" s="360">
        <v>1</v>
      </c>
      <c r="AI10" s="339"/>
      <c r="AJ10" s="355"/>
      <c r="AK10" s="356"/>
      <c r="AL10" s="356"/>
      <c r="AM10" s="356"/>
      <c r="AN10" s="357"/>
      <c r="AO10" s="337"/>
      <c r="AP10" s="337"/>
      <c r="AQ10" s="337"/>
      <c r="AR10" s="337"/>
      <c r="AS10" s="337"/>
      <c r="AT10" s="337"/>
      <c r="AU10" s="337"/>
      <c r="AV10" s="337"/>
      <c r="AW10" s="337"/>
      <c r="AX10" s="337"/>
      <c r="AY10" s="337"/>
      <c r="AZ10" s="337"/>
      <c r="BA10" s="337"/>
      <c r="BB10" s="337"/>
      <c r="BC10" s="337"/>
      <c r="BD10" s="337"/>
      <c r="BE10" s="331"/>
      <c r="BF10" s="162"/>
    </row>
    <row r="11" spans="1:58" ht="15.75" thickBot="1">
      <c r="C11" s="173" t="s">
        <v>188</v>
      </c>
      <c r="D11" s="495">
        <f t="shared" si="0"/>
        <v>543</v>
      </c>
      <c r="E11" s="345"/>
      <c r="F11" s="497">
        <f>24.25*Projekteinstellungen!$B$21</f>
        <v>24.25</v>
      </c>
      <c r="G11" s="337">
        <f>40*Projekteinstellungen!$B$21</f>
        <v>40</v>
      </c>
      <c r="H11" s="353">
        <f>41*Projekteinstellungen!$B$21</f>
        <v>41</v>
      </c>
      <c r="I11" s="344">
        <f>5*Projekteinstellungen!$B$21</f>
        <v>5</v>
      </c>
      <c r="J11" s="348"/>
      <c r="K11" s="348"/>
      <c r="L11" s="348">
        <f>32.25*Projekteinstellungen!$B$21</f>
        <v>32.25</v>
      </c>
      <c r="M11" s="355">
        <f>32.5*Projekteinstellungen!$B$21</f>
        <v>32.5</v>
      </c>
      <c r="N11" s="357">
        <f>40.75*Projekteinstellungen!$B$21</f>
        <v>40.75</v>
      </c>
      <c r="O11" s="357">
        <f>40*Projekteinstellungen!$B$21</f>
        <v>40</v>
      </c>
      <c r="P11" s="330">
        <f>42.5*Projekteinstellungen!$B$21</f>
        <v>42.5</v>
      </c>
      <c r="Q11" s="497">
        <f>33*Projekteinstellungen!$B$21</f>
        <v>33</v>
      </c>
      <c r="R11" s="330">
        <f>40*Projekteinstellungen!$B$21</f>
        <v>40</v>
      </c>
      <c r="S11" s="497">
        <f>32*Projekteinstellungen!$B$21</f>
        <v>32</v>
      </c>
      <c r="T11" s="337">
        <f>42*Projekteinstellungen!$B$21</f>
        <v>42</v>
      </c>
      <c r="U11" s="337">
        <f>29.25*Projekteinstellungen!$B$21</f>
        <v>29.25</v>
      </c>
      <c r="V11" s="330">
        <f>33.5*Projekteinstellungen!$B$21</f>
        <v>33.5</v>
      </c>
      <c r="W11" s="497">
        <f>24*Projekteinstellungen!$B$21</f>
        <v>24</v>
      </c>
      <c r="X11" s="369">
        <v>1</v>
      </c>
      <c r="Y11" s="380">
        <v>1</v>
      </c>
      <c r="Z11" s="365">
        <v>1</v>
      </c>
      <c r="AA11" s="496">
        <v>1</v>
      </c>
      <c r="AB11" s="369">
        <v>1</v>
      </c>
      <c r="AC11" s="371">
        <v>1</v>
      </c>
      <c r="AD11" s="369">
        <v>1</v>
      </c>
      <c r="AE11" s="369">
        <v>1</v>
      </c>
      <c r="AF11" s="369">
        <v>1</v>
      </c>
      <c r="AG11" s="365">
        <v>1</v>
      </c>
      <c r="AH11" s="361">
        <v>1</v>
      </c>
      <c r="AI11" s="355"/>
      <c r="AJ11" s="357"/>
      <c r="AK11" s="337"/>
      <c r="AL11" s="337"/>
      <c r="AM11" s="337"/>
      <c r="AN11" s="337"/>
      <c r="AO11" s="337"/>
      <c r="AP11" s="337"/>
      <c r="AQ11" s="337"/>
      <c r="AR11" s="337"/>
      <c r="AS11" s="337"/>
      <c r="AT11" s="337"/>
      <c r="AU11" s="337"/>
      <c r="AV11" s="337"/>
      <c r="AW11" s="337"/>
      <c r="AX11" s="337"/>
      <c r="AY11" s="337"/>
      <c r="AZ11" s="337"/>
      <c r="BA11" s="337"/>
      <c r="BB11" s="337"/>
      <c r="BC11" s="337"/>
      <c r="BD11" s="337"/>
      <c r="BE11" s="331"/>
      <c r="BF11" s="162"/>
    </row>
    <row r="12" spans="1:58" ht="15">
      <c r="C12" s="173" t="s">
        <v>187</v>
      </c>
      <c r="D12" s="495">
        <f t="shared" si="0"/>
        <v>171.75</v>
      </c>
      <c r="E12" s="332"/>
      <c r="F12" s="352"/>
      <c r="G12" s="337"/>
      <c r="H12" s="337"/>
      <c r="I12" s="352"/>
      <c r="J12" s="354"/>
      <c r="K12" s="354"/>
      <c r="L12" s="357"/>
      <c r="M12" s="357"/>
      <c r="N12" s="336"/>
      <c r="O12" s="336"/>
      <c r="P12" s="337"/>
      <c r="Q12" s="357"/>
      <c r="R12" s="336"/>
      <c r="S12" s="357"/>
      <c r="T12" s="337">
        <f>33.25*Projekteinstellungen!$B$21</f>
        <v>33.25</v>
      </c>
      <c r="U12" s="336">
        <f>44*Projekteinstellungen!$B$21</f>
        <v>44</v>
      </c>
      <c r="V12" s="336">
        <f>41.5*Projekteinstellungen!$B$21</f>
        <v>41.5</v>
      </c>
      <c r="W12" s="352">
        <f>26.25*Projekteinstellungen!$B$21</f>
        <v>26.25</v>
      </c>
      <c r="X12" s="337">
        <f>16.75*Projekteinstellungen!$B$21</f>
        <v>16.75</v>
      </c>
      <c r="Y12" s="380">
        <v>1</v>
      </c>
      <c r="Z12" s="367">
        <v>1</v>
      </c>
      <c r="AA12" s="364">
        <v>1</v>
      </c>
      <c r="AB12" s="369">
        <v>1</v>
      </c>
      <c r="AC12" s="369">
        <v>1</v>
      </c>
      <c r="AD12" s="369">
        <v>1</v>
      </c>
      <c r="AE12" s="369">
        <v>1</v>
      </c>
      <c r="AF12" s="369">
        <v>1</v>
      </c>
      <c r="AG12" s="369">
        <v>1</v>
      </c>
      <c r="AH12" s="366">
        <v>1</v>
      </c>
      <c r="AI12" s="354"/>
      <c r="AJ12" s="337"/>
      <c r="AK12" s="337"/>
      <c r="AL12" s="337"/>
      <c r="AM12" s="337"/>
      <c r="AN12" s="337"/>
      <c r="AO12" s="337"/>
      <c r="AP12" s="337"/>
      <c r="AQ12" s="337"/>
      <c r="AR12" s="337"/>
      <c r="AS12" s="337"/>
      <c r="AT12" s="337"/>
      <c r="AU12" s="337"/>
      <c r="AV12" s="337"/>
      <c r="AW12" s="337"/>
      <c r="AX12" s="337"/>
      <c r="AY12" s="337"/>
      <c r="AZ12" s="337"/>
      <c r="BA12" s="337"/>
      <c r="BB12" s="337"/>
      <c r="BC12" s="337"/>
      <c r="BD12" s="337"/>
      <c r="BE12" s="331"/>
      <c r="BF12" s="162"/>
    </row>
    <row r="13" spans="1:58" ht="15.75" thickBot="1">
      <c r="C13" s="173" t="s">
        <v>186</v>
      </c>
      <c r="D13" s="495">
        <f t="shared" si="0"/>
        <v>504.75</v>
      </c>
      <c r="E13" s="281"/>
      <c r="F13" s="333">
        <f>24.5*Projekteinstellungen!$B$21</f>
        <v>24.5</v>
      </c>
      <c r="G13" s="337">
        <f>26.25*Projekteinstellungen!$B$21</f>
        <v>26.25</v>
      </c>
      <c r="H13" s="330">
        <f>35*Projekteinstellungen!$B$21</f>
        <v>35</v>
      </c>
      <c r="I13" s="344">
        <f>15*Projekteinstellungen!$B$21</f>
        <v>15</v>
      </c>
      <c r="J13" s="348"/>
      <c r="K13" s="355">
        <f>24.25*Projekteinstellungen!$B$21</f>
        <v>24.25</v>
      </c>
      <c r="L13" s="337">
        <f>30.25*Projekteinstellungen!$B$21</f>
        <v>30.25</v>
      </c>
      <c r="M13" s="282">
        <f>34*Projekteinstellungen!$B$21</f>
        <v>34</v>
      </c>
      <c r="N13" s="342">
        <f>26.5*Projekteinstellungen!$B$21</f>
        <v>26.5</v>
      </c>
      <c r="O13" s="350">
        <f>32*Projekteinstellungen!$B$21</f>
        <v>32</v>
      </c>
      <c r="P13" s="337">
        <f>40.5*Projekteinstellungen!$B$21</f>
        <v>40.5</v>
      </c>
      <c r="Q13" s="282">
        <f>39*Projekteinstellungen!$B$21</f>
        <v>39</v>
      </c>
      <c r="R13" s="497">
        <f>32.75*Projekteinstellungen!$B$21</f>
        <v>32.75</v>
      </c>
      <c r="S13" s="337">
        <f>39.5*Projekteinstellungen!$B$21</f>
        <v>39.5</v>
      </c>
      <c r="T13" s="282">
        <f>40.25*Projekteinstellungen!$B$21</f>
        <v>40.25</v>
      </c>
      <c r="U13" s="344">
        <f>5*Projekteinstellungen!$B$21</f>
        <v>5</v>
      </c>
      <c r="V13" s="348">
        <f>28*Projekteinstellungen!$B$21</f>
        <v>28</v>
      </c>
      <c r="W13" s="350">
        <f>14*Projekteinstellungen!$B$21</f>
        <v>14</v>
      </c>
      <c r="X13" s="337">
        <f>8*Projekteinstellungen!$B$21</f>
        <v>8</v>
      </c>
      <c r="Y13" s="381">
        <v>1</v>
      </c>
      <c r="Z13" s="361">
        <v>1</v>
      </c>
      <c r="AA13" s="368">
        <v>1</v>
      </c>
      <c r="AB13" s="369">
        <v>1</v>
      </c>
      <c r="AC13" s="369">
        <v>1</v>
      </c>
      <c r="AD13" s="369">
        <v>1</v>
      </c>
      <c r="AE13" s="369">
        <v>1</v>
      </c>
      <c r="AF13" s="369">
        <v>1</v>
      </c>
      <c r="AG13" s="369">
        <v>1</v>
      </c>
      <c r="AH13" s="365">
        <v>1</v>
      </c>
      <c r="AI13" s="333"/>
      <c r="AJ13" s="337"/>
      <c r="AK13" s="337"/>
      <c r="AL13" s="337"/>
      <c r="AM13" s="337"/>
      <c r="AN13" s="337"/>
      <c r="AO13" s="337"/>
      <c r="AP13" s="337"/>
      <c r="AQ13" s="337"/>
      <c r="AR13" s="337"/>
      <c r="AS13" s="337"/>
      <c r="AT13" s="337"/>
      <c r="AU13" s="337"/>
      <c r="AV13" s="337"/>
      <c r="AW13" s="337"/>
      <c r="AX13" s="337"/>
      <c r="AY13" s="337"/>
      <c r="AZ13" s="337"/>
      <c r="BA13" s="337"/>
      <c r="BB13" s="337"/>
      <c r="BC13" s="337"/>
      <c r="BD13" s="337"/>
      <c r="BE13" s="331"/>
      <c r="BF13" s="162"/>
    </row>
    <row r="14" spans="1:58" ht="15.75" thickBot="1">
      <c r="C14" s="173" t="s">
        <v>185</v>
      </c>
      <c r="D14" s="495">
        <f t="shared" si="0"/>
        <v>242.25</v>
      </c>
      <c r="E14" s="344"/>
      <c r="F14" s="350">
        <f>6*Projekteinstellungen!$B$21</f>
        <v>6</v>
      </c>
      <c r="G14" s="336">
        <f>33.5*Projekteinstellungen!$B$21</f>
        <v>33.5</v>
      </c>
      <c r="H14" s="337">
        <f>33*Projekteinstellungen!$B$21</f>
        <v>33</v>
      </c>
      <c r="I14" s="357">
        <f>32*Projekteinstellungen!$B$21</f>
        <v>32</v>
      </c>
      <c r="J14" s="354">
        <f>32.75*Projekteinstellungen!$B$21</f>
        <v>32.75</v>
      </c>
      <c r="K14" s="357">
        <f>32*Projekteinstellungen!$B$21</f>
        <v>32</v>
      </c>
      <c r="L14" s="330">
        <f>14.5*Projekteinstellungen!$B$21</f>
        <v>14.5</v>
      </c>
      <c r="M14" s="344"/>
      <c r="N14" s="348"/>
      <c r="O14" s="358"/>
      <c r="P14" s="330">
        <f>30.5*Projekteinstellungen!$B$21</f>
        <v>30.5</v>
      </c>
      <c r="Q14" s="497"/>
      <c r="R14" s="357">
        <f>25.5*Projekteinstellungen!$B$21</f>
        <v>25.5</v>
      </c>
      <c r="S14" s="330">
        <f>2.5*Projekteinstellungen!$B$21</f>
        <v>2.5</v>
      </c>
      <c r="T14" s="497"/>
      <c r="U14" s="357"/>
      <c r="V14" s="346"/>
      <c r="W14" s="333"/>
      <c r="X14" s="337"/>
      <c r="Y14" s="338"/>
      <c r="Z14" s="356"/>
      <c r="AA14" s="357"/>
      <c r="AB14" s="337"/>
      <c r="AC14" s="337"/>
      <c r="AD14" s="337"/>
      <c r="AE14" s="337"/>
      <c r="AF14" s="337"/>
      <c r="AG14" s="337"/>
      <c r="AH14" s="330"/>
      <c r="AI14" s="333"/>
      <c r="AJ14" s="336"/>
      <c r="AK14" s="337"/>
      <c r="AL14" s="337"/>
      <c r="AM14" s="337"/>
      <c r="AN14" s="337"/>
      <c r="AO14" s="337"/>
      <c r="AP14" s="337"/>
      <c r="AQ14" s="337"/>
      <c r="AR14" s="337"/>
      <c r="AS14" s="337"/>
      <c r="AT14" s="337"/>
      <c r="AU14" s="337"/>
      <c r="AV14" s="337"/>
      <c r="AW14" s="337"/>
      <c r="AX14" s="337"/>
      <c r="AY14" s="337"/>
      <c r="AZ14" s="337"/>
      <c r="BA14" s="337"/>
      <c r="BB14" s="337"/>
      <c r="BC14" s="337"/>
      <c r="BD14" s="337"/>
      <c r="BE14" s="331"/>
      <c r="BF14" s="162"/>
    </row>
    <row r="15" spans="1:58" ht="15.75" thickBot="1">
      <c r="C15" s="173" t="s">
        <v>184</v>
      </c>
      <c r="D15" s="495">
        <f t="shared" si="0"/>
        <v>568</v>
      </c>
      <c r="E15" s="345"/>
      <c r="F15" s="342">
        <f>19*Projekteinstellungen!$B$21</f>
        <v>19</v>
      </c>
      <c r="G15" s="355"/>
      <c r="H15" s="337">
        <f>39.75*Projekteinstellungen!$B$21</f>
        <v>39.75</v>
      </c>
      <c r="I15" s="330">
        <f>41.5*Projekteinstellungen!$B$21</f>
        <v>41.5</v>
      </c>
      <c r="J15" s="497"/>
      <c r="K15" s="336">
        <f>39.75*Projekteinstellungen!$B$21</f>
        <v>39.75</v>
      </c>
      <c r="L15" s="337">
        <f>36.75*Projekteinstellungen!$B$21</f>
        <v>36.75</v>
      </c>
      <c r="M15" s="356">
        <f>33.5*Projekteinstellungen!$B$21</f>
        <v>33.5</v>
      </c>
      <c r="N15" s="353">
        <f>43.25*Projekteinstellungen!$B$21</f>
        <v>43.25</v>
      </c>
      <c r="O15" s="497">
        <f>24.75*Projekteinstellungen!$B$21</f>
        <v>24.75</v>
      </c>
      <c r="P15" s="337">
        <f>40.25*Projekteinstellungen!$B$21</f>
        <v>40.25</v>
      </c>
      <c r="Q15" s="356">
        <f>41*Projekteinstellungen!$B$21</f>
        <v>41</v>
      </c>
      <c r="R15" s="336">
        <f>30.75*Projekteinstellungen!$B$21</f>
        <v>30.75</v>
      </c>
      <c r="S15" s="336">
        <f>41.25*Projekteinstellungen!$B$21</f>
        <v>41.25</v>
      </c>
      <c r="T15" s="356">
        <f>42.5*Projekteinstellungen!$B$21</f>
        <v>42.5</v>
      </c>
      <c r="U15" s="330">
        <f>43*Projekteinstellungen!$B$21</f>
        <v>43</v>
      </c>
      <c r="V15" s="344"/>
      <c r="W15" s="350">
        <f>26.75*Projekteinstellungen!$B$21</f>
        <v>26.75</v>
      </c>
      <c r="X15" s="337">
        <f>14.25*Projekteinstellungen!$B$21</f>
        <v>14.25</v>
      </c>
      <c r="Y15" s="380">
        <v>1</v>
      </c>
      <c r="Z15" s="369">
        <v>1</v>
      </c>
      <c r="AA15" s="367">
        <v>1</v>
      </c>
      <c r="AB15" s="369">
        <v>1</v>
      </c>
      <c r="AC15" s="369">
        <v>1</v>
      </c>
      <c r="AD15" s="369">
        <v>1</v>
      </c>
      <c r="AE15" s="369">
        <v>1</v>
      </c>
      <c r="AF15" s="369">
        <v>1</v>
      </c>
      <c r="AG15" s="369">
        <v>1</v>
      </c>
      <c r="AH15" s="341">
        <v>1</v>
      </c>
      <c r="AI15" s="343"/>
      <c r="AJ15" s="355"/>
      <c r="AK15" s="337"/>
      <c r="AL15" s="337"/>
      <c r="AM15" s="336"/>
      <c r="AN15" s="337"/>
      <c r="AO15" s="337"/>
      <c r="AP15" s="337"/>
      <c r="AQ15" s="337"/>
      <c r="AR15" s="337"/>
      <c r="AS15" s="337"/>
      <c r="AT15" s="337"/>
      <c r="AU15" s="337"/>
      <c r="AV15" s="337"/>
      <c r="AW15" s="337"/>
      <c r="AX15" s="337"/>
      <c r="AY15" s="337"/>
      <c r="AZ15" s="337"/>
      <c r="BA15" s="337"/>
      <c r="BB15" s="337"/>
      <c r="BC15" s="337"/>
      <c r="BD15" s="337"/>
      <c r="BE15" s="331"/>
      <c r="BF15" s="162"/>
    </row>
    <row r="16" spans="1:58" ht="15.75" thickBot="1">
      <c r="C16" s="173" t="s">
        <v>183</v>
      </c>
      <c r="D16" s="495">
        <f t="shared" si="0"/>
        <v>604.5</v>
      </c>
      <c r="E16" s="328"/>
      <c r="F16" s="497">
        <f>8.75*Projekteinstellungen!$B$21</f>
        <v>8.75</v>
      </c>
      <c r="G16" s="356">
        <f>46.75*Projekteinstellungen!$B$21</f>
        <v>46.75</v>
      </c>
      <c r="H16" s="337">
        <f>43.75*Projekteinstellungen!$B$21</f>
        <v>43.75</v>
      </c>
      <c r="I16" s="337">
        <f>27.75*Projekteinstellungen!$B$21</f>
        <v>27.75</v>
      </c>
      <c r="J16" s="353">
        <f>41.25*Projekteinstellungen!$B$21</f>
        <v>41.25</v>
      </c>
      <c r="K16" s="497">
        <f>34.75*Projekteinstellungen!$B$21</f>
        <v>34.75</v>
      </c>
      <c r="L16" s="337">
        <f>47.5*Projekteinstellungen!$B$21</f>
        <v>47.5</v>
      </c>
      <c r="M16" s="337">
        <f>41.75*Projekteinstellungen!$B$21</f>
        <v>41.75</v>
      </c>
      <c r="N16" s="337">
        <f>42*Projekteinstellungen!$B$21</f>
        <v>42</v>
      </c>
      <c r="O16" s="357">
        <f>43.5*Projekteinstellungen!$B$21</f>
        <v>43.5</v>
      </c>
      <c r="P16" s="336">
        <f>42*Projekteinstellungen!$B$21</f>
        <v>42</v>
      </c>
      <c r="Q16" s="330">
        <f>44*Projekteinstellungen!$B$21</f>
        <v>44</v>
      </c>
      <c r="R16" s="344"/>
      <c r="S16" s="355"/>
      <c r="T16" s="337">
        <f>41.25*Projekteinstellungen!$B$21</f>
        <v>41.25</v>
      </c>
      <c r="U16" s="336">
        <f>31*Projekteinstellungen!$B$21</f>
        <v>31</v>
      </c>
      <c r="V16" s="349">
        <f>40.75*Projekteinstellungen!$B$21</f>
        <v>40.75</v>
      </c>
      <c r="W16" s="335">
        <v>1</v>
      </c>
      <c r="X16" s="337">
        <f>16.75*Projekteinstellungen!$B$21</f>
        <v>16.75</v>
      </c>
      <c r="Y16" s="380">
        <v>1</v>
      </c>
      <c r="Z16" s="365">
        <v>1</v>
      </c>
      <c r="AA16" s="496">
        <v>1</v>
      </c>
      <c r="AB16" s="369">
        <v>1</v>
      </c>
      <c r="AC16" s="369">
        <v>1</v>
      </c>
      <c r="AD16" s="369">
        <v>1</v>
      </c>
      <c r="AE16" s="369">
        <v>1</v>
      </c>
      <c r="AF16" s="369">
        <v>1</v>
      </c>
      <c r="AG16" s="365">
        <v>1</v>
      </c>
      <c r="AH16" s="361">
        <v>1</v>
      </c>
      <c r="AI16" s="350"/>
      <c r="AJ16" s="356"/>
      <c r="AK16" s="337"/>
      <c r="AL16" s="330"/>
      <c r="AM16" s="497"/>
      <c r="AN16" s="337"/>
      <c r="AO16" s="337"/>
      <c r="AP16" s="337"/>
      <c r="AQ16" s="337"/>
      <c r="AR16" s="337"/>
      <c r="AS16" s="337"/>
      <c r="AT16" s="337"/>
      <c r="AU16" s="337"/>
      <c r="AV16" s="337"/>
      <c r="AW16" s="337"/>
      <c r="AX16" s="337"/>
      <c r="AY16" s="337"/>
      <c r="AZ16" s="337"/>
      <c r="BA16" s="337"/>
      <c r="BB16" s="337"/>
      <c r="BC16" s="337"/>
      <c r="BD16" s="337"/>
      <c r="BE16" s="331"/>
      <c r="BF16" s="162"/>
    </row>
    <row r="17" spans="3:58" ht="15.75" thickBot="1">
      <c r="C17" s="173" t="s">
        <v>182</v>
      </c>
      <c r="D17" s="495">
        <f t="shared" si="0"/>
        <v>364.75</v>
      </c>
      <c r="E17" s="329"/>
      <c r="F17" s="352"/>
      <c r="G17" s="336"/>
      <c r="H17" s="337"/>
      <c r="I17" s="337"/>
      <c r="J17" s="337"/>
      <c r="K17" s="357"/>
      <c r="L17" s="337">
        <f>39*Projekteinstellungen!$B$21</f>
        <v>39</v>
      </c>
      <c r="M17" s="337">
        <f>38.75*Projekteinstellungen!$B$21</f>
        <v>38.75</v>
      </c>
      <c r="N17" s="336">
        <f>31*Projekteinstellungen!$B$21</f>
        <v>31</v>
      </c>
      <c r="O17" s="330">
        <f>40.25*Projekteinstellungen!$B$21</f>
        <v>40.25</v>
      </c>
      <c r="P17" s="497">
        <f>33*Projekteinstellungen!$B$21</f>
        <v>33</v>
      </c>
      <c r="Q17" s="337">
        <f>16*Projekteinstellungen!$B$21</f>
        <v>16</v>
      </c>
      <c r="R17" s="354">
        <f>38.75*Projekteinstellungen!$B$21</f>
        <v>38.75</v>
      </c>
      <c r="S17" s="354">
        <f>37.75*Projekteinstellungen!$B$21</f>
        <v>37.75</v>
      </c>
      <c r="T17" s="282">
        <f>39.75*Projekteinstellungen!$B$21</f>
        <v>39.75</v>
      </c>
      <c r="U17" s="342">
        <f>8*Projekteinstellungen!$B$21</f>
        <v>8</v>
      </c>
      <c r="V17" s="348"/>
      <c r="W17" s="350">
        <f>21.25*Projekteinstellungen!$B$21</f>
        <v>21.25</v>
      </c>
      <c r="X17" s="337">
        <f>11.25*Projekteinstellungen!$B$21</f>
        <v>11.25</v>
      </c>
      <c r="Y17" s="380">
        <v>1</v>
      </c>
      <c r="Z17" s="369">
        <v>1</v>
      </c>
      <c r="AA17" s="366">
        <v>1</v>
      </c>
      <c r="AB17" s="369">
        <v>1</v>
      </c>
      <c r="AC17" s="369">
        <v>1</v>
      </c>
      <c r="AD17" s="369">
        <v>1</v>
      </c>
      <c r="AE17" s="369">
        <v>1</v>
      </c>
      <c r="AF17" s="369">
        <v>1</v>
      </c>
      <c r="AG17" s="369">
        <v>1</v>
      </c>
      <c r="AH17" s="370">
        <v>1</v>
      </c>
      <c r="AI17" s="334"/>
      <c r="AJ17" s="336"/>
      <c r="AK17" s="337"/>
      <c r="AL17" s="337"/>
      <c r="AM17" s="356"/>
      <c r="AN17" s="337"/>
      <c r="AO17" s="337"/>
      <c r="AP17" s="337"/>
      <c r="AQ17" s="337"/>
      <c r="AR17" s="337"/>
      <c r="AS17" s="337"/>
      <c r="AT17" s="337"/>
      <c r="AU17" s="337"/>
      <c r="AV17" s="337"/>
      <c r="AW17" s="337"/>
      <c r="AX17" s="337"/>
      <c r="AY17" s="337"/>
      <c r="AZ17" s="337"/>
      <c r="BA17" s="337"/>
      <c r="BB17" s="337"/>
      <c r="BC17" s="337"/>
      <c r="BD17" s="337"/>
      <c r="BE17" s="331"/>
      <c r="BF17" s="162"/>
    </row>
    <row r="18" spans="3:58" ht="15.75" thickBot="1">
      <c r="C18" s="173" t="s">
        <v>181</v>
      </c>
      <c r="D18" s="495">
        <f t="shared" si="0"/>
        <v>482</v>
      </c>
      <c r="E18" s="344"/>
      <c r="F18" s="348"/>
      <c r="G18" s="355">
        <f>29.75*Projekteinstellungen!$B$21</f>
        <v>29.75</v>
      </c>
      <c r="H18" s="337">
        <f>38.25*Projekteinstellungen!$B$21</f>
        <v>38.25</v>
      </c>
      <c r="I18" s="337">
        <f>40.5*Projekteinstellungen!$B$21</f>
        <v>40.5</v>
      </c>
      <c r="J18" s="337">
        <f>37*Projekteinstellungen!$B$21</f>
        <v>37</v>
      </c>
      <c r="K18" s="337">
        <f>40.5*Projekteinstellungen!$B$21</f>
        <v>40.5</v>
      </c>
      <c r="L18" s="337">
        <f>40.5*Projekteinstellungen!$B$21</f>
        <v>40.5</v>
      </c>
      <c r="M18" s="330">
        <f>38.25*Projekteinstellungen!$B$21</f>
        <v>38.25</v>
      </c>
      <c r="N18" s="497"/>
      <c r="O18" s="337">
        <f>41.25*Projekteinstellungen!$B$21</f>
        <v>41.25</v>
      </c>
      <c r="P18" s="357">
        <f>40*Projekteinstellungen!$B$21</f>
        <v>40</v>
      </c>
      <c r="Q18" s="330">
        <f>39.75*Projekteinstellungen!$B$21</f>
        <v>39.75</v>
      </c>
      <c r="R18" s="344">
        <f>35.5*Projekteinstellungen!$B$21</f>
        <v>35.5</v>
      </c>
      <c r="S18" s="348"/>
      <c r="T18" s="348"/>
      <c r="U18" s="355"/>
      <c r="V18" s="353">
        <f>40.25*Projekteinstellungen!$B$21</f>
        <v>40.25</v>
      </c>
      <c r="W18" s="497">
        <f>9.5*Projekteinstellungen!$B$21</f>
        <v>9.5</v>
      </c>
      <c r="X18" s="369">
        <v>1</v>
      </c>
      <c r="Y18" s="380">
        <v>1</v>
      </c>
      <c r="Z18" s="369">
        <v>1</v>
      </c>
      <c r="AA18" s="369">
        <v>1</v>
      </c>
      <c r="AB18" s="369">
        <v>1</v>
      </c>
      <c r="AC18" s="369">
        <v>1</v>
      </c>
      <c r="AD18" s="369">
        <v>1</v>
      </c>
      <c r="AE18" s="369">
        <v>1</v>
      </c>
      <c r="AF18" s="369">
        <v>1</v>
      </c>
      <c r="AG18" s="369">
        <v>1</v>
      </c>
      <c r="AH18" s="365">
        <v>1</v>
      </c>
      <c r="AI18" s="344"/>
      <c r="AJ18" s="355"/>
      <c r="AK18" s="337"/>
      <c r="AL18" s="337"/>
      <c r="AM18" s="337"/>
      <c r="AN18" s="337"/>
      <c r="AO18" s="337"/>
      <c r="AP18" s="337"/>
      <c r="AQ18" s="337"/>
      <c r="AR18" s="337"/>
      <c r="AS18" s="337"/>
      <c r="AT18" s="337"/>
      <c r="AU18" s="337"/>
      <c r="AV18" s="337"/>
      <c r="AW18" s="337"/>
      <c r="AX18" s="337"/>
      <c r="AY18" s="337"/>
      <c r="AZ18" s="337"/>
      <c r="BA18" s="337"/>
      <c r="BB18" s="337"/>
      <c r="BC18" s="337"/>
      <c r="BD18" s="337"/>
      <c r="BE18" s="331"/>
      <c r="BF18" s="162"/>
    </row>
    <row r="19" spans="3:58" ht="15">
      <c r="C19" s="173" t="s">
        <v>180</v>
      </c>
      <c r="D19" s="495">
        <f t="shared" si="0"/>
        <v>24</v>
      </c>
      <c r="E19" s="347"/>
      <c r="F19" s="354"/>
      <c r="G19" s="357"/>
      <c r="H19" s="337"/>
      <c r="I19" s="337"/>
      <c r="J19" s="337"/>
      <c r="K19" s="337"/>
      <c r="L19" s="337"/>
      <c r="M19" s="337"/>
      <c r="N19" s="354"/>
      <c r="O19" s="337"/>
      <c r="P19" s="337"/>
      <c r="Q19" s="337"/>
      <c r="R19" s="357"/>
      <c r="S19" s="356"/>
      <c r="T19" s="356"/>
      <c r="U19" s="354"/>
      <c r="V19" s="337">
        <f>16*Projekteinstellungen!$B$21</f>
        <v>16</v>
      </c>
      <c r="W19" s="352">
        <f>8*Projekteinstellungen!$B$21</f>
        <v>8</v>
      </c>
      <c r="X19" s="337"/>
      <c r="Y19" s="372"/>
      <c r="Z19" s="336"/>
      <c r="AA19" s="337"/>
      <c r="AB19" s="337"/>
      <c r="AC19" s="337"/>
      <c r="AD19" s="337"/>
      <c r="AE19" s="337"/>
      <c r="AF19" s="337"/>
      <c r="AG19" s="337"/>
      <c r="AH19" s="336"/>
      <c r="AI19" s="354"/>
      <c r="AJ19" s="356"/>
      <c r="AK19" s="337"/>
      <c r="AL19" s="337"/>
      <c r="AM19" s="337"/>
      <c r="AN19" s="337"/>
      <c r="AO19" s="337"/>
      <c r="AP19" s="337"/>
      <c r="AQ19" s="337"/>
      <c r="AR19" s="337"/>
      <c r="AS19" s="337"/>
      <c r="AT19" s="337"/>
      <c r="AU19" s="337"/>
      <c r="AV19" s="337"/>
      <c r="AW19" s="337"/>
      <c r="AX19" s="337"/>
      <c r="AY19" s="337"/>
      <c r="AZ19" s="337"/>
      <c r="BA19" s="337"/>
      <c r="BB19" s="337"/>
      <c r="BC19" s="337"/>
      <c r="BD19" s="337"/>
      <c r="BE19" s="331"/>
      <c r="BF19" s="162"/>
    </row>
    <row r="20" spans="3:58" ht="15.75" thickBot="1">
      <c r="C20" s="173" t="s">
        <v>179</v>
      </c>
      <c r="D20" s="495">
        <f t="shared" si="0"/>
        <v>527.92000000000007</v>
      </c>
      <c r="E20" s="328"/>
      <c r="F20" s="333">
        <f>23.5*Projekteinstellungen!$B$21</f>
        <v>23.5</v>
      </c>
      <c r="G20" s="337">
        <f>26.75*Projekteinstellungen!$B$21</f>
        <v>26.75</v>
      </c>
      <c r="H20" s="337">
        <f>28.25*Projekteinstellungen!$B$21</f>
        <v>28.25</v>
      </c>
      <c r="I20" s="336">
        <f>26.25*Projekteinstellungen!$B$21</f>
        <v>26.25</v>
      </c>
      <c r="J20" s="337">
        <f>31.25*Projekteinstellungen!$B$21</f>
        <v>31.25</v>
      </c>
      <c r="K20" s="337">
        <f>30.75*Projekteinstellungen!$B$21</f>
        <v>30.75</v>
      </c>
      <c r="L20" s="337">
        <f>30.5*Projekteinstellungen!$B$21</f>
        <v>30.5</v>
      </c>
      <c r="M20" s="330">
        <f>29.5*Projekteinstellungen!$B$21</f>
        <v>29.5</v>
      </c>
      <c r="N20" s="333">
        <f>18.25*Projekteinstellungen!$B$21</f>
        <v>18.25</v>
      </c>
      <c r="O20" s="336">
        <f>34.75*Projekteinstellungen!$B$21</f>
        <v>34.75</v>
      </c>
      <c r="P20" s="336">
        <f>33.5*Projekteinstellungen!$B$21</f>
        <v>33.5</v>
      </c>
      <c r="Q20" s="336">
        <f>38*Projekteinstellungen!$B$21</f>
        <v>38</v>
      </c>
      <c r="R20" s="336">
        <f>40.75*Projekteinstellungen!$B$21</f>
        <v>40.75</v>
      </c>
      <c r="S20" s="337">
        <f>28.75*Projekteinstellungen!$B$21</f>
        <v>28.75</v>
      </c>
      <c r="T20" s="330">
        <f>44*Projekteinstellungen!$B$21</f>
        <v>44</v>
      </c>
      <c r="U20" s="334"/>
      <c r="V20" s="282">
        <f>30.17*Projekteinstellungen!$B$21</f>
        <v>30.17</v>
      </c>
      <c r="W20" s="497">
        <f>20*Projekteinstellungen!$B$21</f>
        <v>20</v>
      </c>
      <c r="X20" s="330">
        <f>8*Projekteinstellungen!$B$21</f>
        <v>8</v>
      </c>
      <c r="Y20" s="382">
        <v>0.5</v>
      </c>
      <c r="Z20" s="368">
        <v>0.5</v>
      </c>
      <c r="AA20" s="367">
        <v>0.5</v>
      </c>
      <c r="AB20" s="369">
        <v>0.5</v>
      </c>
      <c r="AC20" s="369">
        <v>0.5</v>
      </c>
      <c r="AD20" s="369">
        <v>0.5</v>
      </c>
      <c r="AE20" s="369">
        <v>0.5</v>
      </c>
      <c r="AF20" s="369">
        <v>0.5</v>
      </c>
      <c r="AG20" s="365">
        <v>0.5</v>
      </c>
      <c r="AH20" s="361">
        <v>0.5</v>
      </c>
      <c r="AI20" s="358"/>
      <c r="AJ20" s="337"/>
      <c r="AK20" s="337"/>
      <c r="AL20" s="337"/>
      <c r="AM20" s="337"/>
      <c r="AN20" s="337"/>
      <c r="AO20" s="337"/>
      <c r="AP20" s="337"/>
      <c r="AQ20" s="337"/>
      <c r="AR20" s="337"/>
      <c r="AS20" s="337"/>
      <c r="AT20" s="337"/>
      <c r="AU20" s="337"/>
      <c r="AV20" s="337"/>
      <c r="AW20" s="337"/>
      <c r="AX20" s="337"/>
      <c r="AY20" s="337"/>
      <c r="AZ20" s="337"/>
      <c r="BA20" s="337"/>
      <c r="BB20" s="337"/>
      <c r="BC20" s="337"/>
      <c r="BD20" s="337"/>
      <c r="BE20" s="331"/>
      <c r="BF20" s="162"/>
    </row>
    <row r="21" spans="3:58" ht="15.75" thickBot="1">
      <c r="C21" s="173" t="s">
        <v>178</v>
      </c>
      <c r="D21" s="495">
        <f t="shared" si="0"/>
        <v>496.75</v>
      </c>
      <c r="E21" s="328"/>
      <c r="F21" s="497">
        <f>24*Projekteinstellungen!$B$21</f>
        <v>24</v>
      </c>
      <c r="G21" s="336">
        <f>39*Projekteinstellungen!$B$21</f>
        <v>39</v>
      </c>
      <c r="H21" s="330">
        <f>39.5*Projekteinstellungen!$B$21</f>
        <v>39.5</v>
      </c>
      <c r="I21" s="497"/>
      <c r="J21" s="337">
        <f>39*Projekteinstellungen!$B$21</f>
        <v>39</v>
      </c>
      <c r="K21" s="337">
        <f>38*Projekteinstellungen!$B$21</f>
        <v>38</v>
      </c>
      <c r="L21" s="337">
        <f>38*Projekteinstellungen!$B$21</f>
        <v>38</v>
      </c>
      <c r="M21" s="330">
        <f>36.5*Projekteinstellungen!$B$21</f>
        <v>36.5</v>
      </c>
      <c r="N21" s="344">
        <f>16.75*Projekteinstellungen!$B$21</f>
        <v>16.75</v>
      </c>
      <c r="O21" s="348">
        <f>34.5*Projekteinstellungen!$B$21</f>
        <v>34.5</v>
      </c>
      <c r="P21" s="348">
        <f>34*Projekteinstellungen!$B$21</f>
        <v>34</v>
      </c>
      <c r="Q21" s="340"/>
      <c r="R21" s="358"/>
      <c r="S21" s="336">
        <f>41*Projekteinstellungen!$B$21</f>
        <v>41</v>
      </c>
      <c r="T21" s="330">
        <f>43.5*Projekteinstellungen!$B$21</f>
        <v>43.5</v>
      </c>
      <c r="U21" s="344">
        <f>32.5*Projekteinstellungen!$B$21</f>
        <v>32.5</v>
      </c>
      <c r="V21" s="355">
        <f>16*Projekteinstellungen!$B$21</f>
        <v>16</v>
      </c>
      <c r="W21" s="357">
        <f>13.5*Projekteinstellungen!$B$21</f>
        <v>13.5</v>
      </c>
      <c r="X21" s="369">
        <v>1</v>
      </c>
      <c r="Y21" s="383">
        <v>1</v>
      </c>
      <c r="Z21" s="362">
        <v>1</v>
      </c>
      <c r="AA21" s="496">
        <v>1</v>
      </c>
      <c r="AB21" s="369">
        <v>1</v>
      </c>
      <c r="AC21" s="369">
        <v>1</v>
      </c>
      <c r="AD21" s="369">
        <v>1</v>
      </c>
      <c r="AE21" s="369">
        <v>1</v>
      </c>
      <c r="AF21" s="369">
        <v>1</v>
      </c>
      <c r="AG21" s="369">
        <v>1</v>
      </c>
      <c r="AH21" s="362">
        <v>1</v>
      </c>
      <c r="AI21" s="497"/>
      <c r="AJ21" s="337"/>
      <c r="AK21" s="337"/>
      <c r="AL21" s="337"/>
      <c r="AM21" s="337"/>
      <c r="AN21" s="337"/>
      <c r="AO21" s="337"/>
      <c r="AP21" s="337"/>
      <c r="AQ21" s="337"/>
      <c r="AR21" s="337"/>
      <c r="AS21" s="337"/>
      <c r="AT21" s="337"/>
      <c r="AU21" s="337"/>
      <c r="AV21" s="337"/>
      <c r="AW21" s="337"/>
      <c r="AX21" s="337"/>
      <c r="AY21" s="337"/>
      <c r="AZ21" s="337"/>
      <c r="BA21" s="337"/>
      <c r="BB21" s="337"/>
      <c r="BC21" s="337"/>
      <c r="BD21" s="337"/>
      <c r="BE21" s="331"/>
      <c r="BF21" s="162"/>
    </row>
    <row r="22" spans="3:58" ht="15.75" thickBot="1">
      <c r="C22" s="173" t="s">
        <v>177</v>
      </c>
      <c r="D22" s="495">
        <f t="shared" si="0"/>
        <v>111.5</v>
      </c>
      <c r="E22" s="332"/>
      <c r="F22" s="346">
        <f>17.25*Projekteinstellungen!$B$21</f>
        <v>17.25</v>
      </c>
      <c r="G22" s="333">
        <f>7.5*Projekteinstellungen!$B$21</f>
        <v>7.5</v>
      </c>
      <c r="H22" s="336">
        <f>27.5*Projekteinstellungen!$B$21</f>
        <v>27.5</v>
      </c>
      <c r="I22" s="356">
        <f>22.5*Projekteinstellungen!$B$21</f>
        <v>22.5</v>
      </c>
      <c r="J22" s="337">
        <f>20*Projekteinstellungen!$B$21</f>
        <v>20</v>
      </c>
      <c r="K22" s="337">
        <f>3*Projekteinstellungen!$B$21</f>
        <v>3</v>
      </c>
      <c r="L22" s="336">
        <f>13.75*Projekteinstellungen!$B$21</f>
        <v>13.75</v>
      </c>
      <c r="M22" s="336"/>
      <c r="N22" s="357"/>
      <c r="O22" s="352"/>
      <c r="P22" s="346"/>
      <c r="Q22" s="342"/>
      <c r="R22" s="340"/>
      <c r="S22" s="358"/>
      <c r="T22" s="337"/>
      <c r="U22" s="352"/>
      <c r="V22" s="352"/>
      <c r="W22" s="336"/>
      <c r="X22" s="337"/>
      <c r="Y22" s="338"/>
      <c r="Z22" s="337"/>
      <c r="AA22" s="356"/>
      <c r="AB22" s="337"/>
      <c r="AC22" s="337"/>
      <c r="AD22" s="337"/>
      <c r="AE22" s="337"/>
      <c r="AF22" s="337"/>
      <c r="AG22" s="337"/>
      <c r="AH22" s="336"/>
      <c r="AI22" s="354"/>
      <c r="AJ22" s="336"/>
      <c r="AK22" s="337"/>
      <c r="AL22" s="337"/>
      <c r="AM22" s="337"/>
      <c r="AN22" s="337"/>
      <c r="AO22" s="337"/>
      <c r="AP22" s="337"/>
      <c r="AQ22" s="337"/>
      <c r="AR22" s="337"/>
      <c r="AS22" s="337"/>
      <c r="AT22" s="337"/>
      <c r="AU22" s="337"/>
      <c r="AV22" s="337"/>
      <c r="AW22" s="337"/>
      <c r="AX22" s="336"/>
      <c r="AY22" s="336"/>
      <c r="AZ22" s="336"/>
      <c r="BA22" s="337"/>
      <c r="BB22" s="337"/>
      <c r="BC22" s="337"/>
      <c r="BD22" s="337"/>
      <c r="BE22" s="331"/>
      <c r="BF22" s="162"/>
    </row>
    <row r="23" spans="3:58" ht="15.75" thickBot="1">
      <c r="C23" s="173" t="s">
        <v>176</v>
      </c>
      <c r="D23" s="495">
        <f t="shared" si="0"/>
        <v>88.5</v>
      </c>
      <c r="E23" s="328"/>
      <c r="F23" s="342"/>
      <c r="G23" s="348"/>
      <c r="H23" s="358"/>
      <c r="I23" s="337"/>
      <c r="J23" s="336"/>
      <c r="K23" s="330"/>
      <c r="L23" s="343"/>
      <c r="M23" s="350"/>
      <c r="N23" s="330"/>
      <c r="O23" s="344"/>
      <c r="P23" s="348"/>
      <c r="Q23" s="348">
        <f>21.5*Projekteinstellungen!$B$21</f>
        <v>21.5</v>
      </c>
      <c r="R23" s="339">
        <f>36.5*Projekteinstellungen!$B$21</f>
        <v>36.5</v>
      </c>
      <c r="S23" s="355">
        <f>30.5*Projekteinstellungen!$B$21</f>
        <v>30.5</v>
      </c>
      <c r="T23" s="330"/>
      <c r="U23" s="344"/>
      <c r="V23" s="348"/>
      <c r="W23" s="358"/>
      <c r="X23" s="337"/>
      <c r="Y23" s="338"/>
      <c r="Z23" s="337"/>
      <c r="AA23" s="337"/>
      <c r="AB23" s="337"/>
      <c r="AC23" s="337"/>
      <c r="AD23" s="337"/>
      <c r="AE23" s="337"/>
      <c r="AF23" s="337"/>
      <c r="AG23" s="282"/>
      <c r="AH23" s="342"/>
      <c r="AI23" s="340"/>
      <c r="AJ23" s="355"/>
      <c r="AK23" s="337"/>
      <c r="AL23" s="337"/>
      <c r="AM23" s="337"/>
      <c r="AN23" s="337"/>
      <c r="AO23" s="337"/>
      <c r="AP23" s="337"/>
      <c r="AQ23" s="337"/>
      <c r="AR23" s="337"/>
      <c r="AS23" s="337"/>
      <c r="AT23" s="337"/>
      <c r="AU23" s="337"/>
      <c r="AV23" s="337"/>
      <c r="AW23" s="330"/>
      <c r="AX23" s="344"/>
      <c r="AY23" s="348"/>
      <c r="AZ23" s="355"/>
      <c r="BA23" s="337"/>
      <c r="BB23" s="337"/>
      <c r="BC23" s="337"/>
      <c r="BD23" s="337"/>
      <c r="BE23" s="331"/>
      <c r="BF23" s="162"/>
    </row>
    <row r="24" spans="3:58" ht="15.75" thickBot="1">
      <c r="C24" s="173" t="s">
        <v>175</v>
      </c>
      <c r="D24" s="495">
        <f t="shared" si="0"/>
        <v>563.75</v>
      </c>
      <c r="E24" s="328"/>
      <c r="F24" s="497">
        <f>12.25*Projekteinstellungen!$B$21</f>
        <v>12.25</v>
      </c>
      <c r="G24" s="346">
        <f>34*Projekteinstellungen!$B$21</f>
        <v>34</v>
      </c>
      <c r="H24" s="334"/>
      <c r="I24" s="282">
        <f>31*Projekteinstellungen!$B$21</f>
        <v>31</v>
      </c>
      <c r="J24" s="333">
        <f>30.5*Projekteinstellungen!$B$21</f>
        <v>30.5</v>
      </c>
      <c r="K24" s="330">
        <f>42.5*Projekteinstellungen!$B$21</f>
        <v>42.5</v>
      </c>
      <c r="L24" s="344">
        <f>12.25*Projekteinstellungen!$B$21</f>
        <v>12.25</v>
      </c>
      <c r="M24" s="355">
        <f>31.5*Projekteinstellungen!$B$21</f>
        <v>31.5</v>
      </c>
      <c r="N24" s="337">
        <f>42*Projekteinstellungen!$B$21</f>
        <v>42</v>
      </c>
      <c r="O24" s="357">
        <f>40.25*Projekteinstellungen!$B$21</f>
        <v>40.25</v>
      </c>
      <c r="P24" s="356">
        <f>42.25*Projekteinstellungen!$B$21</f>
        <v>42.25</v>
      </c>
      <c r="Q24" s="351">
        <f>38.25*Projekteinstellungen!$B$21</f>
        <v>38.25</v>
      </c>
      <c r="R24" s="497">
        <f>28.25*Projekteinstellungen!$B$21</f>
        <v>28.25</v>
      </c>
      <c r="S24" s="352">
        <f>38.25*Projekteinstellungen!$B$21</f>
        <v>38.25</v>
      </c>
      <c r="T24" s="337">
        <f>40.5*Projekteinstellungen!$B$21</f>
        <v>40.5</v>
      </c>
      <c r="U24" s="357">
        <f>36.25*Projekteinstellungen!$B$21</f>
        <v>36.25</v>
      </c>
      <c r="V24" s="353">
        <f>37.75*Projekteinstellungen!$B$21</f>
        <v>37.75</v>
      </c>
      <c r="W24" s="497">
        <f>15*Projekteinstellungen!$B$21</f>
        <v>15</v>
      </c>
      <c r="X24" s="369">
        <v>1</v>
      </c>
      <c r="Y24" s="380">
        <v>1</v>
      </c>
      <c r="Z24" s="369">
        <v>1</v>
      </c>
      <c r="AA24" s="367">
        <v>1</v>
      </c>
      <c r="AB24" s="367">
        <v>1</v>
      </c>
      <c r="AC24" s="367">
        <v>1</v>
      </c>
      <c r="AD24" s="367">
        <v>1</v>
      </c>
      <c r="AE24" s="369">
        <v>1</v>
      </c>
      <c r="AF24" s="365">
        <v>1</v>
      </c>
      <c r="AG24" s="361">
        <v>1</v>
      </c>
      <c r="AH24" s="363">
        <v>1</v>
      </c>
      <c r="AI24" s="358"/>
      <c r="AJ24" s="357"/>
      <c r="AK24" s="337"/>
      <c r="AL24" s="337"/>
      <c r="AM24" s="337"/>
      <c r="AN24" s="337"/>
      <c r="AO24" s="337"/>
      <c r="AP24" s="337"/>
      <c r="AQ24" s="337"/>
      <c r="AR24" s="337"/>
      <c r="AS24" s="337"/>
      <c r="AT24" s="337"/>
      <c r="AU24" s="337"/>
      <c r="AV24" s="337"/>
      <c r="AW24" s="337"/>
      <c r="AX24" s="356"/>
      <c r="AY24" s="356"/>
      <c r="AZ24" s="356"/>
      <c r="BA24" s="337"/>
      <c r="BB24" s="337"/>
      <c r="BC24" s="337"/>
      <c r="BD24" s="337"/>
      <c r="BE24" s="331"/>
      <c r="BF24" s="162"/>
    </row>
    <row r="25" spans="3:58" ht="15.75" thickBot="1">
      <c r="C25" s="173" t="s">
        <v>174</v>
      </c>
      <c r="D25" s="495">
        <f t="shared" si="0"/>
        <v>99.25</v>
      </c>
      <c r="E25" s="329"/>
      <c r="F25" s="346"/>
      <c r="G25" s="342"/>
      <c r="H25" s="340"/>
      <c r="I25" s="340"/>
      <c r="J25" s="350"/>
      <c r="K25" s="336"/>
      <c r="L25" s="352"/>
      <c r="M25" s="352"/>
      <c r="N25" s="336"/>
      <c r="O25" s="336"/>
      <c r="P25" s="336">
        <f>38.5*Projekteinstellungen!$B$21</f>
        <v>38.5</v>
      </c>
      <c r="Q25" s="336">
        <f>28.75*Projekteinstellungen!$B$21</f>
        <v>28.75</v>
      </c>
      <c r="R25" s="346">
        <f>32*Projekteinstellungen!$B$21</f>
        <v>32</v>
      </c>
      <c r="S25" s="334"/>
      <c r="T25" s="336"/>
      <c r="U25" s="336"/>
      <c r="V25" s="336"/>
      <c r="W25" s="352"/>
      <c r="X25" s="336"/>
      <c r="Y25" s="372"/>
      <c r="Z25" s="282"/>
      <c r="AA25" s="342"/>
      <c r="AB25" s="340"/>
      <c r="AC25" s="340"/>
      <c r="AD25" s="350"/>
      <c r="AE25" s="336"/>
      <c r="AF25" s="336"/>
      <c r="AG25" s="352"/>
      <c r="AH25" s="349"/>
      <c r="AI25" s="333"/>
      <c r="AJ25" s="336"/>
      <c r="AK25" s="336"/>
      <c r="AL25" s="336"/>
      <c r="AM25" s="336"/>
      <c r="AN25" s="336"/>
      <c r="AO25" s="336"/>
      <c r="AP25" s="336"/>
      <c r="AQ25" s="336"/>
      <c r="AR25" s="336"/>
      <c r="AS25" s="336"/>
      <c r="AT25" s="336"/>
      <c r="AU25" s="336"/>
      <c r="AV25" s="336"/>
      <c r="AW25" s="336"/>
      <c r="AX25" s="336"/>
      <c r="AY25" s="336"/>
      <c r="AZ25" s="336"/>
      <c r="BA25" s="336"/>
      <c r="BB25" s="336"/>
      <c r="BC25" s="336"/>
      <c r="BD25" s="336"/>
      <c r="BE25" s="283"/>
      <c r="BF25" s="162"/>
    </row>
    <row r="26" spans="3:58" ht="9" customHeight="1">
      <c r="C26" s="173"/>
      <c r="D26" s="498"/>
      <c r="E26" s="499"/>
      <c r="F26" s="499"/>
      <c r="G26" s="499"/>
      <c r="H26" s="499"/>
      <c r="I26" s="499"/>
      <c r="J26" s="499"/>
      <c r="K26" s="499"/>
      <c r="L26" s="499"/>
      <c r="M26" s="499"/>
      <c r="N26" s="499"/>
      <c r="O26" s="499"/>
      <c r="P26" s="499"/>
      <c r="Q26" s="499"/>
      <c r="R26" s="499"/>
      <c r="S26" s="499"/>
      <c r="T26" s="499"/>
      <c r="U26" s="499"/>
      <c r="V26" s="499"/>
      <c r="W26" s="499"/>
      <c r="X26" s="499"/>
      <c r="Y26" s="499"/>
      <c r="Z26" s="499"/>
      <c r="AA26" s="499"/>
      <c r="AB26" s="499"/>
      <c r="AC26" s="499"/>
      <c r="AD26" s="499"/>
      <c r="AE26" s="499"/>
      <c r="AF26" s="499"/>
      <c r="AG26" s="499"/>
      <c r="AH26" s="499"/>
      <c r="AI26" s="499"/>
      <c r="AJ26" s="499"/>
      <c r="AK26" s="499"/>
      <c r="AL26" s="499"/>
      <c r="AM26" s="499"/>
      <c r="AN26" s="499"/>
      <c r="AO26" s="499"/>
      <c r="AP26" s="499"/>
      <c r="AQ26" s="499"/>
      <c r="AR26" s="499"/>
      <c r="AS26" s="499"/>
      <c r="AT26" s="499"/>
      <c r="AU26" s="499"/>
      <c r="AV26" s="499"/>
      <c r="AW26" s="499"/>
      <c r="AX26" s="499"/>
      <c r="AY26" s="499"/>
      <c r="AZ26" s="499"/>
      <c r="BA26" s="499"/>
      <c r="BB26" s="499"/>
      <c r="BC26" s="499"/>
      <c r="BD26" s="499"/>
      <c r="BE26" s="275"/>
      <c r="BF26" s="158"/>
    </row>
    <row r="27" spans="3:58" ht="15">
      <c r="C27" s="160" t="s">
        <v>16</v>
      </c>
      <c r="D27" s="165">
        <f>SUM($D$7:$D$25)</f>
        <v>6735.3700000000008</v>
      </c>
      <c r="E27" s="284">
        <f>SUM(E7:E26)</f>
        <v>12.25</v>
      </c>
      <c r="F27" s="284">
        <f t="shared" ref="F27:W27" si="1">SUM(F7:F26)</f>
        <v>217</v>
      </c>
      <c r="G27" s="284">
        <f t="shared" si="1"/>
        <v>353.25</v>
      </c>
      <c r="H27" s="284">
        <f t="shared" si="1"/>
        <v>371</v>
      </c>
      <c r="I27" s="284">
        <f t="shared" si="1"/>
        <v>281.75</v>
      </c>
      <c r="J27" s="284">
        <f t="shared" si="1"/>
        <v>326.25</v>
      </c>
      <c r="K27" s="284">
        <f t="shared" si="1"/>
        <v>389</v>
      </c>
      <c r="L27" s="284">
        <f t="shared" si="1"/>
        <v>417.25</v>
      </c>
      <c r="M27" s="284">
        <f t="shared" si="1"/>
        <v>409</v>
      </c>
      <c r="N27" s="284">
        <f t="shared" si="1"/>
        <v>334</v>
      </c>
      <c r="O27" s="284">
        <f t="shared" si="1"/>
        <v>386</v>
      </c>
      <c r="P27" s="284">
        <f t="shared" si="1"/>
        <v>467</v>
      </c>
      <c r="Q27" s="284">
        <f t="shared" si="1"/>
        <v>413.5</v>
      </c>
      <c r="R27" s="284">
        <f t="shared" si="1"/>
        <v>443.75</v>
      </c>
      <c r="S27" s="284">
        <f t="shared" si="1"/>
        <v>381</v>
      </c>
      <c r="T27" s="284">
        <f t="shared" si="1"/>
        <v>455</v>
      </c>
      <c r="U27" s="284">
        <f t="shared" si="1"/>
        <v>292.25</v>
      </c>
      <c r="V27" s="284">
        <f t="shared" si="1"/>
        <v>373.92</v>
      </c>
      <c r="W27" s="284">
        <f t="shared" si="1"/>
        <v>197.35</v>
      </c>
      <c r="X27" s="291"/>
      <c r="Y27" s="291"/>
      <c r="Z27" s="284"/>
      <c r="AA27" s="284"/>
      <c r="AB27" s="284"/>
      <c r="AC27" s="284"/>
      <c r="AD27" s="284"/>
      <c r="AE27" s="284"/>
      <c r="AF27" s="284"/>
      <c r="AG27" s="284"/>
      <c r="AH27" s="284"/>
      <c r="AI27" s="284"/>
      <c r="AJ27" s="284"/>
      <c r="AK27" s="284"/>
      <c r="AL27" s="284"/>
      <c r="AM27" s="284"/>
      <c r="AN27" s="284"/>
      <c r="AO27" s="284"/>
      <c r="AP27" s="284"/>
      <c r="AQ27" s="284"/>
      <c r="AR27" s="284"/>
      <c r="AS27" s="284"/>
      <c r="AT27" s="284"/>
      <c r="AU27" s="284"/>
      <c r="AV27" s="284"/>
      <c r="AW27" s="284"/>
      <c r="AX27" s="284"/>
      <c r="AY27" s="284"/>
      <c r="AZ27" s="284"/>
      <c r="BA27" s="284"/>
      <c r="BB27" s="284"/>
      <c r="BC27" s="284"/>
      <c r="BD27" s="284"/>
      <c r="BE27" s="284"/>
      <c r="BF27" s="158"/>
    </row>
    <row r="28" spans="3:58" ht="15">
      <c r="C28" s="160"/>
      <c r="D28" s="500"/>
      <c r="E28" s="500"/>
      <c r="F28" s="500"/>
      <c r="G28" s="500"/>
      <c r="H28" s="500"/>
      <c r="I28" s="500"/>
      <c r="J28" s="500"/>
      <c r="K28" s="500"/>
      <c r="L28" s="500"/>
      <c r="M28" s="500"/>
      <c r="N28" s="500"/>
      <c r="O28" s="500"/>
      <c r="P28" s="500"/>
      <c r="Q28" s="500"/>
      <c r="R28" s="500"/>
      <c r="S28" s="500"/>
      <c r="T28" s="500"/>
      <c r="U28" s="500"/>
      <c r="V28" s="500"/>
      <c r="W28" s="500"/>
      <c r="X28" s="500"/>
      <c r="Y28" s="500"/>
      <c r="Z28" s="500"/>
      <c r="AA28" s="500"/>
      <c r="AB28" s="500"/>
      <c r="AC28" s="500"/>
      <c r="AD28" s="500"/>
      <c r="AE28" s="500"/>
      <c r="AF28" s="500"/>
      <c r="AG28" s="500"/>
      <c r="AH28" s="500"/>
      <c r="AI28" s="500"/>
      <c r="AJ28" s="500"/>
      <c r="AK28" s="500"/>
      <c r="AL28" s="500"/>
      <c r="AM28" s="500"/>
      <c r="AN28" s="500"/>
      <c r="AO28" s="500"/>
      <c r="AP28" s="500"/>
      <c r="AQ28" s="500"/>
      <c r="AR28" s="500"/>
      <c r="AS28" s="500"/>
      <c r="AT28" s="500"/>
      <c r="AU28" s="500"/>
      <c r="AV28" s="500"/>
      <c r="AW28" s="500"/>
      <c r="AX28" s="500"/>
      <c r="AY28" s="500"/>
      <c r="AZ28" s="500"/>
      <c r="BA28" s="500"/>
      <c r="BB28" s="500"/>
      <c r="BC28" s="500"/>
      <c r="BD28" s="500"/>
      <c r="BE28" s="166"/>
    </row>
    <row r="29" spans="3:58" ht="15">
      <c r="C29" s="174" t="s">
        <v>148</v>
      </c>
      <c r="D29" s="285"/>
      <c r="E29" s="286">
        <f>SUM(E7:E26)/(Tab_FaktorZeiteinheit[Basisdaten in Tagen] * 5)</f>
        <v>0.30625000000000002</v>
      </c>
      <c r="F29" s="286">
        <f>SUM(F7:F26)/(Tab_FaktorZeiteinheit[Basisdaten in Tagen] * 5)</f>
        <v>5.4249999999999998</v>
      </c>
      <c r="G29" s="286">
        <f>SUM(G7:G26)/(Tab_FaktorZeiteinheit[Basisdaten in Tagen] * 5)</f>
        <v>8.8312500000000007</v>
      </c>
      <c r="H29" s="286">
        <f>SUM(H7:H26)/(Tab_FaktorZeiteinheit[Basisdaten in Tagen] * 5)</f>
        <v>9.2750000000000004</v>
      </c>
      <c r="I29" s="286">
        <f>SUM(I7:I26)/(Tab_FaktorZeiteinheit[Basisdaten in Tagen] * 5)</f>
        <v>7.0437500000000002</v>
      </c>
      <c r="J29" s="286">
        <f>SUM(J7:J26)/(Tab_FaktorZeiteinheit[Basisdaten in Tagen] * 5)</f>
        <v>8.15625</v>
      </c>
      <c r="K29" s="286">
        <f>SUM(K7:K26)/(Tab_FaktorZeiteinheit[Basisdaten in Tagen] * 5)</f>
        <v>9.7249999999999996</v>
      </c>
      <c r="L29" s="286">
        <f>SUM(L7:L26)/(Tab_FaktorZeiteinheit[Basisdaten in Tagen] * 5)</f>
        <v>10.43125</v>
      </c>
      <c r="M29" s="286">
        <f>SUM(M7:M26)/(Tab_FaktorZeiteinheit[Basisdaten in Tagen] * 5)</f>
        <v>10.225</v>
      </c>
      <c r="N29" s="286">
        <f>SUM(N7:N26)/(Tab_FaktorZeiteinheit[Basisdaten in Tagen] * 5)</f>
        <v>8.35</v>
      </c>
      <c r="O29" s="286">
        <f>SUM(O7:O26)/(Tab_FaktorZeiteinheit[Basisdaten in Tagen] * 5)</f>
        <v>9.65</v>
      </c>
      <c r="P29" s="286">
        <f>SUM(P7:P26)/(Tab_FaktorZeiteinheit[Basisdaten in Tagen] * 5)</f>
        <v>11.675000000000001</v>
      </c>
      <c r="Q29" s="286">
        <f>SUM(Q7:Q26)/(Tab_FaktorZeiteinheit[Basisdaten in Tagen] * 5)</f>
        <v>10.3375</v>
      </c>
      <c r="R29" s="286">
        <f>SUM(R7:R26)/(Tab_FaktorZeiteinheit[Basisdaten in Tagen] * 5)</f>
        <v>11.09375</v>
      </c>
      <c r="S29" s="286">
        <f>SUM(S7:S26)/(Tab_FaktorZeiteinheit[Basisdaten in Tagen] * 5)</f>
        <v>9.5250000000000004</v>
      </c>
      <c r="T29" s="286">
        <f>SUM(T7:T26)/(Tab_FaktorZeiteinheit[Basisdaten in Tagen] * 5)</f>
        <v>11.375</v>
      </c>
      <c r="U29" s="286">
        <f>SUM(U7:U26)/(Tab_FaktorZeiteinheit[Basisdaten in Tagen] * 5)</f>
        <v>7.3062500000000004</v>
      </c>
      <c r="V29" s="286">
        <f>SUM(V7:V26)/(Tab_FaktorZeiteinheit[Basisdaten in Tagen] * 5)</f>
        <v>9.3480000000000008</v>
      </c>
      <c r="W29" s="286">
        <f>SUM(W7:W26)/(Tab_FaktorZeiteinheit[Basisdaten in Tagen] * 5)</f>
        <v>4.9337499999999999</v>
      </c>
      <c r="X29" s="286"/>
      <c r="Y29" s="292"/>
      <c r="Z29" s="286"/>
      <c r="AA29" s="286"/>
      <c r="AB29" s="286"/>
      <c r="AC29" s="286"/>
      <c r="AD29" s="286"/>
      <c r="AE29" s="286"/>
      <c r="AF29" s="286"/>
      <c r="AG29" s="286"/>
      <c r="AH29" s="286"/>
      <c r="AI29" s="286"/>
      <c r="AJ29" s="286"/>
      <c r="AK29" s="286"/>
      <c r="AL29" s="286"/>
      <c r="AM29" s="286"/>
      <c r="AN29" s="286"/>
      <c r="AO29" s="286"/>
      <c r="AP29" s="286"/>
      <c r="AQ29" s="286"/>
      <c r="AR29" s="286"/>
      <c r="AS29" s="286"/>
      <c r="AT29" s="286"/>
      <c r="AU29" s="286"/>
      <c r="AV29" s="286"/>
      <c r="AW29" s="286"/>
      <c r="AX29" s="286"/>
      <c r="AY29" s="286"/>
      <c r="AZ29" s="286"/>
      <c r="BA29" s="286"/>
      <c r="BB29" s="286"/>
      <c r="BC29" s="286"/>
      <c r="BD29" s="286"/>
      <c r="BE29" s="286"/>
      <c r="BF29" s="158"/>
    </row>
    <row r="30" spans="3:58" ht="15">
      <c r="C30" s="167"/>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8"/>
      <c r="AC30" s="168"/>
      <c r="AD30" s="168"/>
      <c r="AE30" s="168"/>
      <c r="AF30" s="168"/>
      <c r="AG30" s="168"/>
      <c r="AH30" s="168"/>
      <c r="AI30" s="168"/>
      <c r="AJ30" s="168"/>
      <c r="AK30" s="168"/>
      <c r="AL30" s="168"/>
      <c r="AM30" s="168"/>
      <c r="AN30" s="168"/>
      <c r="AO30" s="168"/>
      <c r="AP30" s="168"/>
      <c r="AQ30" s="168"/>
      <c r="AR30" s="168"/>
      <c r="AS30" s="168"/>
      <c r="AT30" s="168"/>
      <c r="AU30" s="168"/>
      <c r="AV30" s="168"/>
      <c r="AW30" s="168"/>
      <c r="AX30" s="168"/>
      <c r="AY30" s="168"/>
      <c r="AZ30" s="168"/>
      <c r="BA30" s="168"/>
      <c r="BB30" s="168"/>
      <c r="BC30" s="168"/>
      <c r="BD30" s="168"/>
      <c r="BE30" s="169"/>
    </row>
    <row r="31" spans="3:58">
      <c r="BE31" s="159"/>
    </row>
    <row r="32" spans="3:58">
      <c r="BE32" s="5"/>
    </row>
    <row r="33" spans="3:60" ht="15">
      <c r="C33" s="457" t="s">
        <v>144</v>
      </c>
      <c r="D33" s="458"/>
      <c r="E33" s="272"/>
      <c r="F33" s="272"/>
      <c r="G33" s="272"/>
      <c r="H33" s="272"/>
      <c r="I33" s="272"/>
      <c r="J33" s="272"/>
      <c r="K33" s="272"/>
      <c r="L33" s="272"/>
      <c r="M33" s="272"/>
      <c r="N33" s="272"/>
      <c r="O33" s="272"/>
      <c r="P33" s="272"/>
      <c r="Q33" s="272"/>
      <c r="R33" s="272"/>
      <c r="S33" s="272"/>
      <c r="T33" s="272"/>
      <c r="U33" s="272"/>
      <c r="V33" s="272"/>
      <c r="W33" s="272"/>
      <c r="X33" s="272"/>
      <c r="Y33" s="272"/>
      <c r="Z33" s="272"/>
      <c r="AA33" s="272"/>
      <c r="AB33" s="272"/>
      <c r="AC33" s="272"/>
      <c r="AD33" s="272"/>
      <c r="AE33" s="272"/>
      <c r="AF33" s="272"/>
      <c r="AG33" s="272"/>
      <c r="AH33" s="272"/>
      <c r="AI33" s="272"/>
      <c r="AJ33" s="272"/>
      <c r="AK33" s="272"/>
      <c r="AL33" s="272"/>
      <c r="AM33" s="272"/>
      <c r="AN33" s="272"/>
      <c r="AO33" s="272"/>
      <c r="AP33" s="272"/>
      <c r="AQ33" s="272"/>
      <c r="AR33" s="272"/>
      <c r="AS33" s="272"/>
      <c r="AT33" s="272"/>
      <c r="AU33" s="272"/>
      <c r="AV33" s="272"/>
      <c r="AW33" s="272"/>
      <c r="AX33" s="272"/>
      <c r="AY33" s="272"/>
      <c r="AZ33" s="272"/>
      <c r="BA33" s="272"/>
      <c r="BB33" s="272"/>
      <c r="BC33" s="272"/>
      <c r="BD33" s="272"/>
      <c r="BE33" s="170"/>
      <c r="BF33" s="163"/>
    </row>
    <row r="34" spans="3:60" ht="9" customHeight="1">
      <c r="C34" s="3"/>
      <c r="D34" s="501"/>
      <c r="E34" s="499"/>
      <c r="F34" s="499"/>
      <c r="G34" s="499"/>
      <c r="H34" s="499"/>
      <c r="I34" s="499"/>
      <c r="J34" s="499"/>
      <c r="K34" s="499"/>
      <c r="L34" s="499"/>
      <c r="M34" s="499"/>
      <c r="N34" s="499"/>
      <c r="O34" s="499"/>
      <c r="P34" s="499"/>
      <c r="Q34" s="499"/>
      <c r="R34" s="499"/>
      <c r="S34" s="499"/>
      <c r="T34" s="499"/>
      <c r="U34" s="499"/>
      <c r="V34" s="499"/>
      <c r="W34" s="499"/>
      <c r="X34" s="499"/>
      <c r="Y34" s="499"/>
      <c r="Z34" s="499"/>
      <c r="AA34" s="499"/>
      <c r="AB34" s="499"/>
      <c r="AC34" s="499"/>
      <c r="AD34" s="499"/>
      <c r="AE34" s="499"/>
      <c r="AF34" s="499"/>
      <c r="AG34" s="499"/>
      <c r="AH34" s="499"/>
      <c r="AI34" s="499"/>
      <c r="AJ34" s="499"/>
      <c r="AK34" s="499"/>
      <c r="AL34" s="499"/>
      <c r="AM34" s="499"/>
      <c r="AN34" s="499"/>
      <c r="AO34" s="499"/>
      <c r="AP34" s="499"/>
      <c r="AQ34" s="499"/>
      <c r="AR34" s="499"/>
      <c r="AS34" s="499"/>
      <c r="AT34" s="499"/>
      <c r="AU34" s="499"/>
      <c r="AV34" s="499"/>
      <c r="AW34" s="499"/>
      <c r="AX34" s="499"/>
      <c r="AY34" s="499"/>
      <c r="AZ34" s="499"/>
      <c r="BA34" s="499"/>
      <c r="BB34" s="499"/>
      <c r="BC34" s="499"/>
      <c r="BD34" s="499"/>
      <c r="BE34" s="275"/>
      <c r="BF34" s="158"/>
    </row>
    <row r="35" spans="3:60" ht="15">
      <c r="C35" s="255" t="s">
        <v>89</v>
      </c>
      <c r="D35" s="502">
        <f>Cockpit!$G$25</f>
        <v>0</v>
      </c>
      <c r="E35" s="287"/>
      <c r="F35" s="288"/>
      <c r="G35" s="288"/>
      <c r="H35" s="288"/>
      <c r="I35" s="288"/>
      <c r="J35" s="288"/>
      <c r="K35" s="288"/>
      <c r="L35" s="288"/>
      <c r="M35" s="288"/>
      <c r="N35" s="288"/>
      <c r="O35" s="288"/>
      <c r="P35" s="288"/>
      <c r="Q35" s="288"/>
      <c r="R35" s="288"/>
      <c r="S35" s="288"/>
      <c r="T35" s="288"/>
      <c r="U35" s="288"/>
      <c r="V35" s="288"/>
      <c r="W35" s="288"/>
      <c r="X35" s="288"/>
      <c r="Y35" s="293"/>
      <c r="Z35" s="288"/>
      <c r="AA35" s="288"/>
      <c r="AB35" s="288"/>
      <c r="AC35" s="288"/>
      <c r="AD35" s="288"/>
      <c r="AE35" s="288"/>
      <c r="AF35" s="288"/>
      <c r="AG35" s="288"/>
      <c r="AH35" s="288"/>
      <c r="AI35" s="288"/>
      <c r="AJ35" s="288"/>
      <c r="AK35" s="288"/>
      <c r="AL35" s="288"/>
      <c r="AM35" s="288"/>
      <c r="AN35" s="288"/>
      <c r="AO35" s="288"/>
      <c r="AP35" s="288"/>
      <c r="AQ35" s="288"/>
      <c r="AR35" s="288"/>
      <c r="AS35" s="288"/>
      <c r="AT35" s="288"/>
      <c r="AU35" s="288"/>
      <c r="AV35" s="288"/>
      <c r="AW35" s="288"/>
      <c r="AX35" s="288"/>
      <c r="AY35" s="288"/>
      <c r="AZ35" s="288"/>
      <c r="BA35" s="288"/>
      <c r="BB35" s="288"/>
      <c r="BC35" s="288"/>
      <c r="BD35" s="288"/>
      <c r="BE35" s="289"/>
      <c r="BF35" s="158"/>
    </row>
    <row r="36" spans="3:60" ht="15">
      <c r="C36" s="255" t="s">
        <v>90</v>
      </c>
      <c r="D36" s="502">
        <f>Cockpit!$G$26</f>
        <v>0</v>
      </c>
      <c r="E36" s="287"/>
      <c r="F36" s="288"/>
      <c r="G36" s="288"/>
      <c r="H36" s="288"/>
      <c r="I36" s="288"/>
      <c r="J36" s="288"/>
      <c r="K36" s="288"/>
      <c r="L36" s="288"/>
      <c r="M36" s="288"/>
      <c r="N36" s="288"/>
      <c r="O36" s="288"/>
      <c r="P36" s="288"/>
      <c r="Q36" s="288"/>
      <c r="R36" s="288"/>
      <c r="S36" s="288"/>
      <c r="T36" s="288"/>
      <c r="U36" s="288"/>
      <c r="V36" s="288"/>
      <c r="W36" s="288"/>
      <c r="X36" s="288"/>
      <c r="Y36" s="293"/>
      <c r="Z36" s="288"/>
      <c r="AA36" s="288"/>
      <c r="AB36" s="288"/>
      <c r="AC36" s="288"/>
      <c r="AD36" s="288"/>
      <c r="AE36" s="288"/>
      <c r="AF36" s="288"/>
      <c r="AG36" s="288"/>
      <c r="AH36" s="288"/>
      <c r="AI36" s="288"/>
      <c r="AJ36" s="288"/>
      <c r="AK36" s="288"/>
      <c r="AL36" s="288"/>
      <c r="AM36" s="288"/>
      <c r="AN36" s="288"/>
      <c r="AO36" s="288"/>
      <c r="AP36" s="288"/>
      <c r="AQ36" s="288"/>
      <c r="AR36" s="288"/>
      <c r="AS36" s="288"/>
      <c r="AT36" s="288"/>
      <c r="AU36" s="288"/>
      <c r="AV36" s="288"/>
      <c r="AW36" s="288"/>
      <c r="AX36" s="288"/>
      <c r="AY36" s="288"/>
      <c r="AZ36" s="288"/>
      <c r="BA36" s="288"/>
      <c r="BB36" s="288"/>
      <c r="BC36" s="288"/>
      <c r="BD36" s="288"/>
      <c r="BE36" s="289"/>
    </row>
    <row r="37" spans="3:60" ht="9" customHeight="1">
      <c r="C37" s="4"/>
      <c r="D37" s="5"/>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168"/>
      <c r="AD37" s="168"/>
      <c r="AE37" s="168"/>
      <c r="AF37" s="168"/>
      <c r="AG37" s="168"/>
      <c r="AH37" s="168"/>
      <c r="AI37" s="168"/>
      <c r="AJ37" s="168"/>
      <c r="AK37" s="168"/>
      <c r="AL37" s="168"/>
      <c r="AM37" s="168"/>
      <c r="AN37" s="168"/>
      <c r="AO37" s="168"/>
      <c r="AP37" s="168"/>
      <c r="AQ37" s="168"/>
      <c r="AR37" s="168"/>
      <c r="AS37" s="168"/>
      <c r="AT37" s="168"/>
      <c r="AU37" s="168"/>
      <c r="AV37" s="168"/>
      <c r="AW37" s="168"/>
      <c r="AX37" s="168"/>
      <c r="AY37" s="168"/>
      <c r="AZ37" s="168"/>
      <c r="BA37" s="168"/>
      <c r="BB37" s="168"/>
      <c r="BC37" s="168"/>
      <c r="BD37" s="168"/>
      <c r="BE37" s="169"/>
    </row>
    <row r="38" spans="3:60">
      <c r="BE38" s="159"/>
    </row>
    <row r="41" spans="3:60" ht="15">
      <c r="C41" s="114"/>
      <c r="D41" s="115"/>
    </row>
    <row r="42" spans="3:60" ht="15" hidden="1">
      <c r="C42" s="153" t="s">
        <v>91</v>
      </c>
      <c r="D42" s="154" t="s">
        <v>75</v>
      </c>
      <c r="E42" s="155"/>
      <c r="F42" s="155"/>
      <c r="G42" s="155"/>
      <c r="H42" s="155"/>
      <c r="I42" s="155"/>
      <c r="J42" s="155"/>
      <c r="K42" s="155"/>
      <c r="L42" s="155"/>
      <c r="M42" s="155"/>
      <c r="N42" s="155"/>
      <c r="O42" s="155"/>
      <c r="P42" s="155"/>
      <c r="Q42" s="155"/>
      <c r="R42" s="155"/>
      <c r="S42" s="155"/>
      <c r="T42" s="155"/>
      <c r="U42" s="155"/>
      <c r="V42" s="155"/>
      <c r="W42" s="155"/>
      <c r="X42" s="155"/>
      <c r="Y42" s="155"/>
      <c r="Z42" s="155"/>
      <c r="AA42" s="155"/>
      <c r="AB42" s="155"/>
      <c r="AC42" s="155"/>
      <c r="AD42" s="155"/>
      <c r="AE42" s="155"/>
      <c r="AF42" s="155"/>
      <c r="AG42" s="155"/>
      <c r="AH42" s="155"/>
      <c r="AI42" s="155"/>
      <c r="AJ42" s="155"/>
      <c r="AK42" s="155"/>
      <c r="AL42" s="155"/>
      <c r="AM42" s="155"/>
      <c r="AN42" s="155"/>
      <c r="AO42" s="155"/>
      <c r="AP42" s="155"/>
      <c r="AQ42" s="155"/>
      <c r="AR42" s="155"/>
      <c r="AS42" s="155"/>
      <c r="AT42" s="155"/>
      <c r="AU42" s="155"/>
      <c r="AV42" s="155"/>
      <c r="AW42" s="155"/>
      <c r="AX42" s="155"/>
      <c r="AY42" s="155"/>
      <c r="AZ42" s="155"/>
      <c r="BA42" s="155"/>
      <c r="BB42" s="155"/>
      <c r="BC42" s="155"/>
      <c r="BD42" s="155"/>
      <c r="BE42" s="156"/>
      <c r="BF42" s="158"/>
      <c r="BG42" s="24"/>
      <c r="BH42" s="24"/>
    </row>
    <row r="43" spans="3:60" hidden="1">
      <c r="C43" s="28" t="s">
        <v>92</v>
      </c>
      <c r="D43" s="157" t="s">
        <v>75</v>
      </c>
      <c r="E43" s="158"/>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57"/>
      <c r="BF43" s="158"/>
    </row>
    <row r="44" spans="3:60" hidden="1">
      <c r="C44" s="459" t="s">
        <v>74</v>
      </c>
      <c r="D44" s="460"/>
      <c r="E44" s="158">
        <f>Cockpit!$F$16-Cockpit!$F$16/53</f>
        <v>14101.811320754718</v>
      </c>
      <c r="F44" s="158">
        <f>E44-(Cockpit!$F$16/53)</f>
        <v>13830.622641509435</v>
      </c>
      <c r="G44" s="158">
        <f>F44-(Cockpit!$F$16/53)</f>
        <v>13559.433962264153</v>
      </c>
      <c r="H44" s="158">
        <f>G44-(Cockpit!$F$16/53)</f>
        <v>13288.24528301887</v>
      </c>
      <c r="I44" s="158">
        <f>H44-(Cockpit!$F$16/53)</f>
        <v>13017.056603773588</v>
      </c>
      <c r="J44" s="158">
        <f>I44-(Cockpit!$F$16/53)</f>
        <v>12745.867924528306</v>
      </c>
      <c r="K44" s="158">
        <f>J44-(Cockpit!$F$16/53)</f>
        <v>12474.679245283023</v>
      </c>
      <c r="L44" s="158">
        <f>K44-(Cockpit!$F$16/53)</f>
        <v>12203.490566037741</v>
      </c>
      <c r="M44" s="158">
        <f>L44-(Cockpit!$F$16/53)</f>
        <v>11932.301886792458</v>
      </c>
      <c r="N44" s="158">
        <f>M44-(Cockpit!$F$16/53)</f>
        <v>11661.113207547176</v>
      </c>
      <c r="O44" s="158">
        <f>N44-(Cockpit!$F$16/53)</f>
        <v>11389.924528301894</v>
      </c>
      <c r="P44" s="158">
        <f>O44-(Cockpit!$F$16/53)</f>
        <v>11118.735849056611</v>
      </c>
      <c r="Q44" s="158">
        <f>P44-(Cockpit!$F$16/53)</f>
        <v>10847.547169811329</v>
      </c>
      <c r="R44" s="158">
        <f>Q44-(Cockpit!$F$16/53)</f>
        <v>10576.358490566046</v>
      </c>
      <c r="S44" s="158">
        <f>R44-(Cockpit!$F$16/53)</f>
        <v>10305.169811320764</v>
      </c>
      <c r="T44" s="158">
        <f>S44-(Cockpit!$F$16/53)</f>
        <v>10033.981132075482</v>
      </c>
      <c r="U44" s="158">
        <f>T44-(Cockpit!$F$16/53)</f>
        <v>9762.7924528301992</v>
      </c>
      <c r="V44" s="158">
        <f>U44-(Cockpit!$F$16/53)</f>
        <v>9491.6037735849168</v>
      </c>
      <c r="W44" s="158">
        <f>V44-(Cockpit!$F$16/53)</f>
        <v>9220.4150943396344</v>
      </c>
      <c r="X44" s="158">
        <f>W44-(Cockpit!$F$16/53)</f>
        <v>8949.226415094352</v>
      </c>
      <c r="Y44" s="158">
        <f>X44-(Cockpit!$F$16/53)</f>
        <v>8678.0377358490696</v>
      </c>
      <c r="Z44" s="158">
        <f>Y44-(Cockpit!$F$16/53)</f>
        <v>8406.8490566037872</v>
      </c>
      <c r="AA44" s="158">
        <f>Z44-(Cockpit!$F$16/53)</f>
        <v>8135.6603773585039</v>
      </c>
      <c r="AB44" s="158">
        <f>AA44-(Cockpit!$F$16/53)</f>
        <v>7864.4716981132206</v>
      </c>
      <c r="AC44" s="158">
        <f>AB44-(Cockpit!$F$16/53)</f>
        <v>7593.2830188679372</v>
      </c>
      <c r="AD44" s="158">
        <f>AC44-(Cockpit!$F$16/53)</f>
        <v>7322.0943396226539</v>
      </c>
      <c r="AE44" s="158">
        <f>AD44-(Cockpit!$F$16/53)</f>
        <v>7050.9056603773706</v>
      </c>
      <c r="AF44" s="158">
        <f>AE44-(Cockpit!$F$16/53)</f>
        <v>6779.7169811320873</v>
      </c>
      <c r="AG44" s="158">
        <f>AF44-(Cockpit!$F$16/53)</f>
        <v>6508.528301886804</v>
      </c>
      <c r="AH44" s="158">
        <f>AG44-(Cockpit!$F$16/53)</f>
        <v>6237.3396226415207</v>
      </c>
      <c r="AI44" s="158">
        <f>AH44-(Cockpit!$F$16/53)</f>
        <v>5966.1509433962374</v>
      </c>
      <c r="AJ44" s="158">
        <f>AI44-(Cockpit!$F$16/53)</f>
        <v>5694.9622641509541</v>
      </c>
      <c r="AK44" s="158">
        <f>AJ44-(Cockpit!$F$16/53)</f>
        <v>5423.7735849056708</v>
      </c>
      <c r="AL44" s="158">
        <f>AK44-(Cockpit!$F$16/53)</f>
        <v>5152.5849056603874</v>
      </c>
      <c r="AM44" s="158">
        <f>AL44-(Cockpit!$F$16/53)</f>
        <v>4881.3962264151041</v>
      </c>
      <c r="AN44" s="158">
        <f>AM44-(Cockpit!$F$16/53)</f>
        <v>4610.2075471698208</v>
      </c>
      <c r="AO44" s="158">
        <f>AN44-(Cockpit!$F$16/53)</f>
        <v>4339.0188679245375</v>
      </c>
      <c r="AP44" s="158">
        <f>AO44-(Cockpit!$F$16/53)</f>
        <v>4067.8301886792547</v>
      </c>
      <c r="AQ44" s="158">
        <f>AP44-(Cockpit!$F$16/53)</f>
        <v>3796.6415094339718</v>
      </c>
      <c r="AR44" s="158">
        <f>AQ44-(Cockpit!$F$16/53)</f>
        <v>3525.4528301886889</v>
      </c>
      <c r="AS44" s="158">
        <f>AR44-(Cockpit!$F$16/53)</f>
        <v>3254.2641509434061</v>
      </c>
      <c r="AT44" s="158">
        <f>AS44-(Cockpit!$F$16/53)</f>
        <v>2983.0754716981232</v>
      </c>
      <c r="AU44" s="158">
        <f>AT44-(Cockpit!$F$16/53)</f>
        <v>2711.8867924528404</v>
      </c>
      <c r="AV44" s="158">
        <f>AU44-(Cockpit!$F$16/53)</f>
        <v>2440.6981132075575</v>
      </c>
      <c r="AW44" s="158">
        <f>AV44-(Cockpit!$F$16/53)</f>
        <v>2169.5094339622747</v>
      </c>
      <c r="AX44" s="158">
        <f>AW44-(Cockpit!$F$16/53)</f>
        <v>1898.3207547169916</v>
      </c>
      <c r="AY44" s="158">
        <f>AX44-(Cockpit!$F$16/53)</f>
        <v>1627.1320754717085</v>
      </c>
      <c r="AZ44" s="158">
        <f>AY44-(Cockpit!$F$16/53)</f>
        <v>1355.9433962264254</v>
      </c>
      <c r="BA44" s="158">
        <f>AZ44-(Cockpit!$F$16/53)</f>
        <v>1084.7547169811423</v>
      </c>
      <c r="BB44" s="158">
        <f>BA44-(Cockpit!$F$16/53)</f>
        <v>813.56603773585925</v>
      </c>
      <c r="BC44" s="158">
        <f>BB44-(Cockpit!$F$16/53)</f>
        <v>542.37735849057617</v>
      </c>
      <c r="BD44" s="158">
        <f>BC44-(Cockpit!$F$16/53)</f>
        <v>271.18867924529314</v>
      </c>
      <c r="BE44" s="158">
        <f>BD44-(Cockpit!$F$16/53)</f>
        <v>1.0118128557223827E-11</v>
      </c>
      <c r="BF44" s="158"/>
    </row>
    <row r="45" spans="3:60" hidden="1">
      <c r="C45" s="453" t="s">
        <v>93</v>
      </c>
      <c r="D45" s="454"/>
      <c r="E45" s="58">
        <f>Cockpit!$F$16-SUM($E$27:E27)</f>
        <v>14360.75</v>
      </c>
      <c r="F45" s="58">
        <f>Cockpit!$F$16-SUM($E$27:F27)</f>
        <v>14143.75</v>
      </c>
      <c r="G45" s="58">
        <f>Cockpit!$F$16-SUM($E$27:G27)</f>
        <v>13790.5</v>
      </c>
      <c r="H45" s="58">
        <f>Cockpit!$F$16-SUM($E$27:H27)</f>
        <v>13419.5</v>
      </c>
      <c r="I45" s="58">
        <f>Cockpit!$F$16-SUM($E$27:I27)</f>
        <v>13137.75</v>
      </c>
      <c r="J45" s="58">
        <f>Cockpit!$F$16-SUM($E$27:J27)</f>
        <v>12811.5</v>
      </c>
      <c r="K45" s="58">
        <f>Cockpit!$F$16-SUM($E$27:K27)</f>
        <v>12422.5</v>
      </c>
      <c r="L45" s="58">
        <f>Cockpit!$F$16-SUM($E$27:L27)</f>
        <v>12005.25</v>
      </c>
      <c r="M45" s="58">
        <f>Cockpit!$F$16-SUM($E$27:M27)</f>
        <v>11596.25</v>
      </c>
      <c r="N45" s="58">
        <f>Cockpit!$F$16-SUM($E$27:N27)</f>
        <v>11262.25</v>
      </c>
      <c r="O45" s="58">
        <f>Cockpit!$F$16-SUM($E$27:O27)</f>
        <v>10876.25</v>
      </c>
      <c r="P45" s="58">
        <f>Cockpit!$F$16-SUM($E$27:P27)</f>
        <v>10409.25</v>
      </c>
      <c r="Q45" s="58">
        <f>Cockpit!$F$16-SUM($E$27:Q27)</f>
        <v>9995.75</v>
      </c>
      <c r="R45" s="58">
        <f>Cockpit!$F$16-SUM($E$27:R27)</f>
        <v>9552</v>
      </c>
      <c r="S45" s="58">
        <f>Cockpit!$F$16-SUM($E$27:S27)</f>
        <v>9171</v>
      </c>
      <c r="T45" s="58">
        <f>Cockpit!$F$16-SUM($E$27:T27)</f>
        <v>8716</v>
      </c>
      <c r="U45" s="58">
        <f>Cockpit!$F$16-SUM($E$27:U27)</f>
        <v>8423.75</v>
      </c>
      <c r="V45" s="58">
        <f>Cockpit!$F$16-SUM($E$27:V27)</f>
        <v>8049.83</v>
      </c>
      <c r="W45" s="58">
        <f>Cockpit!$F$16-SUM($E$27:W27)</f>
        <v>7852.48</v>
      </c>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c r="AW45" s="58"/>
      <c r="AX45" s="58"/>
      <c r="AY45" s="58"/>
      <c r="AZ45" s="58"/>
      <c r="BA45" s="58"/>
      <c r="BB45" s="58"/>
      <c r="BC45" s="58"/>
      <c r="BD45" s="58"/>
      <c r="BE45" s="59"/>
      <c r="BF45" s="158"/>
    </row>
    <row r="46" spans="3:60" hidden="1">
      <c r="C46" s="6" t="s">
        <v>51</v>
      </c>
      <c r="D46" s="25" cm="1">
        <f t="array" aca="1" ref="D46" ca="1">IFERROR(WORKDAY(TODAY(),(Cockpit!$G$17/(Tab_FaktorZeiteinheit[Basisdaten in Tagen]*Cockpit!$G$21))),"#Fehler")</f>
        <v>45369</v>
      </c>
      <c r="E46" s="3"/>
      <c r="U46" s="158"/>
      <c r="V46" s="158"/>
      <c r="W46" s="158">
        <f>$W$45</f>
        <v>7852.48</v>
      </c>
      <c r="X46" s="2">
        <f>W46-5*8*Projekteinstellungen!$B$21*Cockpit!$G$21</f>
        <v>7509.2947368421046</v>
      </c>
      <c r="Y46" s="2">
        <f>X46-5*8*Projekteinstellungen!$B$21*Cockpit!$G$21</f>
        <v>7166.1094736842097</v>
      </c>
      <c r="Z46" s="2">
        <f>Y46-5*8*Projekteinstellungen!$B$21*Cockpit!$G$21</f>
        <v>6822.9242105263147</v>
      </c>
      <c r="AA46" s="2">
        <f>Z46-5*8*Projekteinstellungen!$B$21*Cockpit!$G$21</f>
        <v>6479.7389473684198</v>
      </c>
      <c r="AB46" s="2">
        <f>AA46-5*8*Projekteinstellungen!$B$21*Cockpit!$G$21</f>
        <v>6136.5536842105248</v>
      </c>
      <c r="AC46" s="2">
        <f>AB46-5*8*Projekteinstellungen!$B$21*Cockpit!$G$21</f>
        <v>5793.3684210526299</v>
      </c>
      <c r="AD46" s="2">
        <f>AC46-5*8*Projekteinstellungen!$B$21*Cockpit!$G$21</f>
        <v>5450.1831578947349</v>
      </c>
      <c r="AE46" s="2">
        <f>AD46-5*8*Projekteinstellungen!$B$21*Cockpit!$G$21</f>
        <v>5106.99789473684</v>
      </c>
      <c r="AF46" s="2">
        <f>AE46-5*8*Projekteinstellungen!$B$21*Cockpit!$G$21</f>
        <v>4763.812631578945</v>
      </c>
      <c r="AG46" s="2">
        <f>AF46-5*8*Projekteinstellungen!$B$21*Cockpit!$G$21</f>
        <v>4420.6273684210501</v>
      </c>
      <c r="AH46" s="2">
        <f>AG46-5*8*Projekteinstellungen!$B$21*Cockpit!$G$21</f>
        <v>4077.4421052631551</v>
      </c>
      <c r="AI46" s="2">
        <f>AH46-5*8*Projekteinstellungen!$B$21*Cockpit!$G$21</f>
        <v>3734.2568421052601</v>
      </c>
      <c r="AJ46" s="2">
        <f>AI46-5*8*Projekteinstellungen!$B$21*Cockpit!$G$21</f>
        <v>3391.0715789473652</v>
      </c>
      <c r="AK46" s="2">
        <f>AJ46-5*8*Projekteinstellungen!$B$21*Cockpit!$G$21</f>
        <v>3047.8863157894702</v>
      </c>
      <c r="AL46" s="2">
        <f>AK46-5*8*Projekteinstellungen!$B$21*Cockpit!$G$21</f>
        <v>2704.7010526315753</v>
      </c>
      <c r="AM46" s="2">
        <f>AL46-5*8*Projekteinstellungen!$B$21*Cockpit!$G$21</f>
        <v>2361.5157894736803</v>
      </c>
      <c r="AN46" s="2">
        <f>AM46-5*8*Projekteinstellungen!$B$21*Cockpit!$G$21</f>
        <v>2018.3305263157856</v>
      </c>
      <c r="AO46" s="2">
        <f>AN46-5*8*Projekteinstellungen!$B$21*Cockpit!$G$21</f>
        <v>1675.1452631578909</v>
      </c>
      <c r="AP46" s="2">
        <f>AO46-5*8*Projekteinstellungen!$B$21*Cockpit!$G$21</f>
        <v>1331.9599999999962</v>
      </c>
      <c r="AQ46" s="2">
        <f>AP46-5*8*Projekteinstellungen!$B$21*Cockpit!$G$21</f>
        <v>988.77473684210145</v>
      </c>
      <c r="AR46" s="2">
        <f>AQ46-5*8*Projekteinstellungen!$B$21*Cockpit!$G$21</f>
        <v>645.58947368420672</v>
      </c>
      <c r="AS46" s="2">
        <f>AR46-5*8*Projekteinstellungen!$B$21*Cockpit!$G$21</f>
        <v>302.40421052631194</v>
      </c>
      <c r="AT46" s="2">
        <f>AS46-5*8*Projekteinstellungen!$B$21*Cockpit!$G$21</f>
        <v>-40.781052631582838</v>
      </c>
      <c r="AU46" s="2">
        <f>AT46-5*8*Projekteinstellungen!$B$21*Cockpit!$G$21</f>
        <v>-383.96631578947762</v>
      </c>
      <c r="BE46" s="7"/>
    </row>
    <row r="47" spans="3:60" hidden="1">
      <c r="C47" s="27" t="s">
        <v>73</v>
      </c>
      <c r="D47" s="26" cm="1">
        <f t="array" aca="1" ref="D47" ca="1">IFERROR(WORKDAY(TODAY(),(Cockpit!$G$17/(Tab_FaktorZeiteinheit[Basisdaten in Tagen]*Cockpit!$G$22))),"#Fehler")</f>
        <v>45376</v>
      </c>
      <c r="E47" s="4"/>
      <c r="F47" s="5"/>
      <c r="G47" s="5"/>
      <c r="H47" s="5"/>
      <c r="I47" s="5"/>
      <c r="J47" s="5"/>
      <c r="K47" s="5"/>
      <c r="L47" s="5"/>
      <c r="M47" s="5"/>
      <c r="N47" s="5"/>
      <c r="O47" s="5"/>
      <c r="P47" s="5"/>
      <c r="Q47" s="5"/>
      <c r="R47" s="5"/>
      <c r="S47" s="5"/>
      <c r="T47" s="5"/>
      <c r="U47" s="58"/>
      <c r="V47" s="58"/>
      <c r="W47" s="58">
        <f>$W$45</f>
        <v>7852.48</v>
      </c>
      <c r="X47" s="5">
        <f>W47-5*8*Projekteinstellungen!$B$21*Cockpit!$G$22</f>
        <v>7522.8499999999995</v>
      </c>
      <c r="Y47" s="5">
        <f>X47-5*8*Projekteinstellungen!$B$21*Cockpit!$G$22</f>
        <v>7193.2199999999993</v>
      </c>
      <c r="Z47" s="5">
        <f>Y47-5*8*Projekteinstellungen!$B$21*Cockpit!$G$22</f>
        <v>6863.5899999999992</v>
      </c>
      <c r="AA47" s="5">
        <f>Z47-5*8*Projekteinstellungen!$B$21*Cockpit!$G$22</f>
        <v>6533.9599999999991</v>
      </c>
      <c r="AB47" s="5">
        <f>AA47-5*8*Projekteinstellungen!$B$21*Cockpit!$G$22</f>
        <v>6204.329999999999</v>
      </c>
      <c r="AC47" s="5">
        <f>AB47-5*8*Projekteinstellungen!$B$21*Cockpit!$G$22</f>
        <v>5874.6999999999989</v>
      </c>
      <c r="AD47" s="5">
        <f>AC47-5*8*Projekteinstellungen!$B$21*Cockpit!$G$22</f>
        <v>5545.0699999999988</v>
      </c>
      <c r="AE47" s="5">
        <f>AD47-5*8*Projekteinstellungen!$B$21*Cockpit!$G$22</f>
        <v>5215.4399999999987</v>
      </c>
      <c r="AF47" s="5">
        <f>AE47-5*8*Projekteinstellungen!$B$21*Cockpit!$G$22</f>
        <v>4885.8099999999986</v>
      </c>
      <c r="AG47" s="5">
        <f>AF47-5*8*Projekteinstellungen!$B$21*Cockpit!$G$22</f>
        <v>4556.1799999999985</v>
      </c>
      <c r="AH47" s="5">
        <f>AG47-5*8*Projekteinstellungen!$B$21*Cockpit!$G$22</f>
        <v>4226.5499999999984</v>
      </c>
      <c r="AI47" s="5">
        <f>AH47-5*8*Projekteinstellungen!$B$21*Cockpit!$G$22</f>
        <v>3896.9199999999983</v>
      </c>
      <c r="AJ47" s="5">
        <f>AI47-5*8*Projekteinstellungen!$B$21*Cockpit!$G$22</f>
        <v>3567.2899999999981</v>
      </c>
      <c r="AK47" s="5">
        <f>AJ47-5*8*Projekteinstellungen!$B$21*Cockpit!$G$22</f>
        <v>3237.659999999998</v>
      </c>
      <c r="AL47" s="5">
        <f>AK47-5*8*Projekteinstellungen!$B$21*Cockpit!$G$22</f>
        <v>2908.0299999999979</v>
      </c>
      <c r="AM47" s="5">
        <f>AL47-5*8*Projekteinstellungen!$B$21*Cockpit!$G$22</f>
        <v>2578.3999999999978</v>
      </c>
      <c r="AN47" s="5">
        <f>AM47-5*8*Projekteinstellungen!$B$21*Cockpit!$G$22</f>
        <v>2248.7699999999977</v>
      </c>
      <c r="AO47" s="5">
        <f>AN47-5*8*Projekteinstellungen!$B$21*Cockpit!$G$22</f>
        <v>1919.1399999999978</v>
      </c>
      <c r="AP47" s="5">
        <f>AO47-5*8*Projekteinstellungen!$B$21*Cockpit!$G$22</f>
        <v>1589.5099999999979</v>
      </c>
      <c r="AQ47" s="5">
        <f>AP47-5*8*Projekteinstellungen!$B$21*Cockpit!$G$22</f>
        <v>1259.8799999999981</v>
      </c>
      <c r="AR47" s="5">
        <f>AQ47-5*8*Projekteinstellungen!$B$21*Cockpit!$G$22</f>
        <v>930.24999999999818</v>
      </c>
      <c r="AS47" s="5">
        <f>AR47-5*8*Projekteinstellungen!$B$21*Cockpit!$G$22</f>
        <v>600.6199999999983</v>
      </c>
      <c r="AT47" s="5">
        <f>AS47-5*8*Projekteinstellungen!$B$21*Cockpit!$G$22</f>
        <v>270.98999999999836</v>
      </c>
      <c r="AU47" s="5">
        <f>AT47-5*8*Projekteinstellungen!$B$21*Cockpit!$G$22</f>
        <v>-58.640000000001578</v>
      </c>
      <c r="AV47" s="5"/>
      <c r="AW47" s="5"/>
      <c r="AX47" s="5"/>
      <c r="AY47" s="5"/>
      <c r="AZ47" s="5"/>
      <c r="BA47" s="5"/>
      <c r="BB47" s="5"/>
      <c r="BC47" s="5"/>
      <c r="BD47" s="5"/>
      <c r="BE47" s="8"/>
    </row>
  </sheetData>
  <mergeCells count="16">
    <mergeCell ref="C45:D45"/>
    <mergeCell ref="A1:A3"/>
    <mergeCell ref="C33:D33"/>
    <mergeCell ref="C44:D44"/>
    <mergeCell ref="E3:I3"/>
    <mergeCell ref="J3:M3"/>
    <mergeCell ref="N3:R3"/>
    <mergeCell ref="S3:V3"/>
    <mergeCell ref="W3:Z3"/>
    <mergeCell ref="AA3:AE3"/>
    <mergeCell ref="BA3:BE3"/>
    <mergeCell ref="AF3:AI3"/>
    <mergeCell ref="AJ3:AM3"/>
    <mergeCell ref="AN3:AR3"/>
    <mergeCell ref="AS3:AV3"/>
    <mergeCell ref="AW3:AZ3"/>
  </mergeCells>
  <dataValidations count="20">
    <dataValidation allowBlank="1" showInputMessage="1" showErrorMessage="1" sqref="G24 R20 Q13 G10 I24 F25 R25 K24 Z25 N23 T23 F22 Z21 AI22 E20:E25 AH17 E15:E16 J16 R15 R14:S14 G13:H13 Y13 S7 G11:H11 R11 K10 AB10 H9 E7:E8 R7:R9 K25:M25 N24:Q25 T25:W25 AE25:AH25 AJ24:AZ25 BA23:BE25 Z24:AF24 I23:K23 Z23:AG23 AK23:AW23 I22:P22 T22:W22 Z22:AA22 AB21:AH22 AJ20:BE22 J20:M21 Y21:Y25 G20:G21 O18:P20 AA20:AG20 E19:G19 J19:N19 R19:W19 AA19:BE19 J18:M18 R17 Y16:Z19 AA17 AA18:AH18 AB16:AG17 AK18:BE18 E17:F17 J17:O17 Q15:Q20 AJ17:BE17 G16:G17 I15:I20 L16:O16 AJ16:AL16 AN16:BE16 H15:H22 K15:N15 Y14:AH15 AK15:BE15 E13 G14:L14 U14:V14 AJ13:BE14 L13:M13 P13:P16 X13:X25 AB13:AH13 E11 E12:S12 X12:BE12 H7:P7 X7:Z7 AB7:AH7 AJ7:BE7 N11:P11 X10:Z11 AB11:AG11 AJ11:BE11 P10:R10 AD10:AG10 AK10:BE10 K9:O9 M8:N8 Y9:AG9 AO9:BE9 H8:J8 X8:AG8 AK8:BE8" xr:uid="{4D536778-0DE3-472B-A45F-EA99F0C50D86}"/>
    <dataValidation allowBlank="1" showInputMessage="1" showErrorMessage="1" prompt="Abw: 20% | 8h" sqref="N20 Z20 G18 F20:F21 R18 P17 K16 F13 G25 F15 J24:J25 J10 R13 AA25 M24 AH23 I13 M10 Q11 AA13 AD25 K13 O10 AH11 G9 F7:F11 F23:F24 R24 Q23:S23 O21:P21 N13:O13 W7 L11:M11 AA10 E9:E10 X9 K8:L8 Q7:Q8" xr:uid="{93A35285-E16C-4C08-8B9A-A87607E0C526}"/>
    <dataValidation allowBlank="1" showInputMessage="1" showErrorMessage="1" prompt="Abw: 100% | 40h" sqref="AH16 AM16 AC10 G15 J13 I9 I25 H23:H25 L23 AA21 J15 Z13 Q9 S25 AH24 P23 I21 U20 AI20:AI21 N18 AJ18 AI17:AI18 V15 V7 AI11 G7 W8:W9 AB25:AC25 AI23:AI24 V23:W23 AX23:AZ23 Q21:R21 Y20 E18:F18 S18:U18 V17 R16:S16 AI15:AJ15 J11:K11 H10:I10 U7:U8 AH9:AM9 O8:P8 AI8:AJ8" xr:uid="{A76164B9-58A9-44D3-B89C-B42BC23A78B8}"/>
    <dataValidation allowBlank="1" showInputMessage="1" showErrorMessage="1" prompt="Abw: 60% | 24h" sqref="P9 I11 L10 AI10 AN9 AI25 AI16 N21 AI7 AI13 G8" xr:uid="{27A00EE1-1F22-474E-BF5E-8BBFABEBA0CC}"/>
    <dataValidation allowBlank="1" showInputMessage="1" showErrorMessage="1" prompt="Abw: 80% | 32h" sqref="W16 L24 AG24 G23 O23 AA16" xr:uid="{02F2A0B2-B463-4409-931E-23D3D2428D59}"/>
    <dataValidation allowBlank="1" showInputMessage="1" showErrorMessage="1" prompt="Plan: 100% | 40h" sqref="W21 V18 W12 S24:V24 S21:T21 S17:T17 T16:V16 S15:U15 S13:T13 T11:V12 S10:V10 V8" xr:uid="{102F6A06-3FB3-432E-A35C-72C488BB4CC9}"/>
    <dataValidation allowBlank="1" showInputMessage="1" showErrorMessage="1" prompt="Abw: 40% | 16h" sqref="AA11 O15 N10 AH10 AJ10 J9 M23 U23 F16 T7 AH20 AA7 AJ23 AH8" xr:uid="{C5364561-8B87-421C-848E-05D7CB288B43}"/>
    <dataValidation allowBlank="1" showInputMessage="1" showErrorMessage="1" prompt="Abw: 94% | 32h" sqref="G22" xr:uid="{3D3605A7-933E-4652-B3DB-9056E3444396}"/>
    <dataValidation allowBlank="1" showInputMessage="1" showErrorMessage="1" prompt="Abw: 24% | 8h" sqref="Q22" xr:uid="{929042C0-B6B5-40D7-9370-EE7BDBF8F5ED}"/>
    <dataValidation allowBlank="1" showInputMessage="1" showErrorMessage="1" prompt="Abw: 118% | 40h" sqref="R22:S22" xr:uid="{5FB86986-2DF6-4FB4-9BEF-085747BC6B44}"/>
    <dataValidation allowBlank="1" showInputMessage="1" showErrorMessage="1" prompt="Plan: 100% | 40h_x000d__x000a_Abw: 20% | 8h" sqref="W18 W15 W11 S11 W24 V13 U21:V21 S8:T8" xr:uid="{2B9D8D02-9BD0-454C-9056-C156DC7C0AA9}"/>
    <dataValidation allowBlank="1" showInputMessage="1" showErrorMessage="1" prompt="Plan: 50% | 20h" sqref="V20 S20:T20 S9" xr:uid="{FF1310E1-83F1-4C6D-AFB0-BC17FD75E45F}"/>
    <dataValidation allowBlank="1" showInputMessage="1" showErrorMessage="1" prompt="Plan: 100% | 40h_x000d__x000a_Abw: 80% | 32h" sqref="U17" xr:uid="{CB413A6D-C202-4F9B-8ABC-B9AAE891B00F}"/>
    <dataValidation allowBlank="1" showInputMessage="1" showErrorMessage="1" prompt="Abw: 23% | 8h" sqref="E14:F14" xr:uid="{16D3A365-C2FA-441B-BE2A-0F027301B11D}"/>
    <dataValidation allowBlank="1" showInputMessage="1" showErrorMessage="1" prompt="Abw: 114% | 40h" sqref="Q14 M14:O14 T14" xr:uid="{C6D42179-EBFE-47AC-81D2-98955C44009F}"/>
    <dataValidation allowBlank="1" showInputMessage="1" showErrorMessage="1" prompt="Abw: 91% | 32h" sqref="W14" xr:uid="{AA5C6055-229D-4269-913B-81C2ABA4A402}"/>
    <dataValidation allowBlank="1" showInputMessage="1" showErrorMessage="1" prompt="Abw: 69% | 24h" sqref="AI14" xr:uid="{D15F217C-1DF7-4EAD-BAE4-A775C74E7687}"/>
    <dataValidation allowBlank="1" showInputMessage="1" showErrorMessage="1" prompt="Plan: 100% | 40h_x000d__x000a_Abw: 40% | 16h" sqref="W13 W17 U13 W10" xr:uid="{1E26229A-5095-489A-9FA2-73B4E1F25C7A}"/>
    <dataValidation allowBlank="1" showInputMessage="1" showErrorMessage="1" prompt="Plan: 35% | 14h" sqref="T9:V9" xr:uid="{9DF45A97-01DD-4070-B3E7-2BC795204B09}"/>
    <dataValidation allowBlank="1" showInputMessage="1" showErrorMessage="1" prompt="Plan: 50% | 20h_x000d__x000a_Abw: 20% | 8h" sqref="W20" xr:uid="{BB826E0C-1E44-4F21-BF6E-059009735E40}"/>
  </dataValidations>
  <pageMargins left="0.7" right="0.7" top="0.78740157499999996" bottom="0.78740157499999996"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ellIs" priority="5" operator="greaterThan" id="{68E5C274-C46D-4C9C-9088-43F5CA298159}">
            <xm:f>5*Projekteinstellungen!$C$21</xm:f>
            <x14:dxf>
              <font>
                <color rgb="FFC00000"/>
              </font>
              <fill>
                <patternFill>
                  <bgColor rgb="FFFFCCCC"/>
                </patternFill>
              </fill>
            </x14:dxf>
          </x14:cfRule>
          <xm:sqref>BE26:BF26</xm:sqref>
        </x14:conditionalFormatting>
        <x14:conditionalFormatting xmlns:xm="http://schemas.microsoft.com/office/excel/2006/main">
          <x14:cfRule type="cellIs" priority="6" stopIfTrue="1" operator="greaterThan" id="{8CCBD97F-4B27-4BA5-8E22-BAD01048C66B}">
            <xm:f>(1+Projekteinstellungen!$B$9)*40*Projekteinstellungen!$B$21</xm:f>
            <x14:dxf>
              <font>
                <color rgb="FF000000"/>
              </font>
              <fill>
                <patternFill>
                  <bgColor rgb="FFF55F5F"/>
                </patternFill>
              </fill>
            </x14:dxf>
          </x14:cfRule>
          <xm:sqref>P25</xm:sqref>
        </x14:conditionalFormatting>
        <x14:conditionalFormatting xmlns:xm="http://schemas.microsoft.com/office/excel/2006/main">
          <x14:cfRule type="cellIs" priority="7" stopIfTrue="1" operator="greaterThan" id="{617458E3-C343-4D26-A86B-8F19CC80D3C2}">
            <xm:f>(1+Projekteinstellungen!$B$9)*40*Projekteinstellungen!$B$21</xm:f>
            <x14:dxf>
              <font>
                <color rgb="FF000000"/>
              </font>
              <fill>
                <patternFill>
                  <bgColor rgb="FFF55F5F"/>
                </patternFill>
              </fill>
            </x14:dxf>
          </x14:cfRule>
          <xm:sqref>Q25</xm:sqref>
        </x14:conditionalFormatting>
        <x14:conditionalFormatting xmlns:xm="http://schemas.microsoft.com/office/excel/2006/main">
          <x14:cfRule type="cellIs" priority="8" stopIfTrue="1" operator="greaterThan" id="{7023D62F-D9B5-4C19-95D7-8B035CA66686}">
            <xm:f>(1+Projekteinstellungen!$B$9)*40*Projekteinstellungen!$B$21</xm:f>
            <x14:dxf>
              <font>
                <color rgb="FF000000"/>
              </font>
              <fill>
                <patternFill>
                  <bgColor rgb="FFF55F5F"/>
                </patternFill>
              </fill>
            </x14:dxf>
          </x14:cfRule>
          <xm:sqref>R25</xm:sqref>
        </x14:conditionalFormatting>
        <x14:conditionalFormatting xmlns:xm="http://schemas.microsoft.com/office/excel/2006/main">
          <x14:cfRule type="cellIs" priority="9" stopIfTrue="1" operator="greaterThan" id="{AAA9E65E-C841-4C87-8BFD-761BA72DBA43}">
            <xm:f>(1+Projekteinstellungen!$B$9)*40*Projekteinstellungen!$B$21</xm:f>
            <x14:dxf>
              <font>
                <color rgb="FF000000"/>
              </font>
              <fill>
                <patternFill>
                  <bgColor rgb="FFF55F5F"/>
                </patternFill>
              </fill>
            </x14:dxf>
          </x14:cfRule>
          <xm:sqref>F24</xm:sqref>
        </x14:conditionalFormatting>
        <x14:conditionalFormatting xmlns:xm="http://schemas.microsoft.com/office/excel/2006/main">
          <x14:cfRule type="cellIs" priority="10" stopIfTrue="1" operator="greaterThan" id="{1975882E-F6BE-451C-AA8C-35853BDDC1A3}">
            <xm:f>(1+Projekteinstellungen!$B$9)*40*Projekteinstellungen!$B$21</xm:f>
            <x14:dxf>
              <font>
                <color rgb="FF000000"/>
              </font>
              <fill>
                <patternFill>
                  <bgColor rgb="FFF55F5F"/>
                </patternFill>
              </fill>
            </x14:dxf>
          </x14:cfRule>
          <xm:sqref>G24</xm:sqref>
        </x14:conditionalFormatting>
        <x14:conditionalFormatting xmlns:xm="http://schemas.microsoft.com/office/excel/2006/main">
          <x14:cfRule type="cellIs" priority="11" stopIfTrue="1" operator="greaterThan" id="{91FC60E6-648B-42A0-9036-CA37C92092F8}">
            <xm:f>(1+Projekteinstellungen!$B$9)*40*Projekteinstellungen!$B$21</xm:f>
            <x14:dxf>
              <font>
                <color rgb="FF000000"/>
              </font>
              <fill>
                <patternFill>
                  <bgColor rgb="FFF55F5F"/>
                </patternFill>
              </fill>
            </x14:dxf>
          </x14:cfRule>
          <xm:sqref>I24</xm:sqref>
        </x14:conditionalFormatting>
        <x14:conditionalFormatting xmlns:xm="http://schemas.microsoft.com/office/excel/2006/main">
          <x14:cfRule type="cellIs" priority="12" stopIfTrue="1" operator="greaterThan" id="{883281EF-CEA0-4A31-B9E0-33A213959079}">
            <xm:f>(1+Projekteinstellungen!$B$9)*40*Projekteinstellungen!$B$21</xm:f>
            <x14:dxf>
              <font>
                <color rgb="FF000000"/>
              </font>
              <fill>
                <patternFill>
                  <bgColor rgb="FFF55F5F"/>
                </patternFill>
              </fill>
            </x14:dxf>
          </x14:cfRule>
          <xm:sqref>J24</xm:sqref>
        </x14:conditionalFormatting>
        <x14:conditionalFormatting xmlns:xm="http://schemas.microsoft.com/office/excel/2006/main">
          <x14:cfRule type="cellIs" priority="13" stopIfTrue="1" operator="greaterThan" id="{058BD2BC-5D55-4DFB-9275-F095E30A3DE3}">
            <xm:f>(1+Projekteinstellungen!$B$9)*40*Projekteinstellungen!$B$21</xm:f>
            <x14:dxf>
              <font>
                <color rgb="FF000000"/>
              </font>
              <fill>
                <patternFill>
                  <bgColor rgb="FFF55F5F"/>
                </patternFill>
              </fill>
            </x14:dxf>
          </x14:cfRule>
          <xm:sqref>K24</xm:sqref>
        </x14:conditionalFormatting>
        <x14:conditionalFormatting xmlns:xm="http://schemas.microsoft.com/office/excel/2006/main">
          <x14:cfRule type="cellIs" priority="14" stopIfTrue="1" operator="greaterThan" id="{F2489B4C-0C05-44B1-8D0E-55DDDC49B2FE}">
            <xm:f>(1+Projekteinstellungen!$B$9)*40*Projekteinstellungen!$B$21</xm:f>
            <x14:dxf>
              <font>
                <color rgb="FF000000"/>
              </font>
              <fill>
                <patternFill>
                  <bgColor rgb="FFF55F5F"/>
                </patternFill>
              </fill>
            </x14:dxf>
          </x14:cfRule>
          <xm:sqref>L24</xm:sqref>
        </x14:conditionalFormatting>
        <x14:conditionalFormatting xmlns:xm="http://schemas.microsoft.com/office/excel/2006/main">
          <x14:cfRule type="cellIs" priority="15" stopIfTrue="1" operator="greaterThan" id="{9A544752-A841-4FA7-95E5-08E060F550B1}">
            <xm:f>(1+Projekteinstellungen!$B$9)*40*Projekteinstellungen!$B$21</xm:f>
            <x14:dxf>
              <font>
                <color rgb="FF000000"/>
              </font>
              <fill>
                <patternFill>
                  <bgColor rgb="FFF55F5F"/>
                </patternFill>
              </fill>
            </x14:dxf>
          </x14:cfRule>
          <xm:sqref>M24</xm:sqref>
        </x14:conditionalFormatting>
        <x14:conditionalFormatting xmlns:xm="http://schemas.microsoft.com/office/excel/2006/main">
          <x14:cfRule type="cellIs" priority="16" stopIfTrue="1" operator="greaterThan" id="{25AA44A5-018B-44F7-B467-576A32082720}">
            <xm:f>(1+Projekteinstellungen!$B$9)*40*Projekteinstellungen!$B$21</xm:f>
            <x14:dxf>
              <font>
                <color rgb="FF000000"/>
              </font>
              <fill>
                <patternFill>
                  <bgColor rgb="FFF55F5F"/>
                </patternFill>
              </fill>
            </x14:dxf>
          </x14:cfRule>
          <xm:sqref>N24</xm:sqref>
        </x14:conditionalFormatting>
        <x14:conditionalFormatting xmlns:xm="http://schemas.microsoft.com/office/excel/2006/main">
          <x14:cfRule type="cellIs" priority="17" stopIfTrue="1" operator="greaterThan" id="{07653550-A00E-4103-BE28-34B52D4628DC}">
            <xm:f>(1+Projekteinstellungen!$B$9)*40*Projekteinstellungen!$B$21</xm:f>
            <x14:dxf>
              <font>
                <color rgb="FF000000"/>
              </font>
              <fill>
                <patternFill>
                  <bgColor rgb="FFF55F5F"/>
                </patternFill>
              </fill>
            </x14:dxf>
          </x14:cfRule>
          <xm:sqref>O24</xm:sqref>
        </x14:conditionalFormatting>
        <x14:conditionalFormatting xmlns:xm="http://schemas.microsoft.com/office/excel/2006/main">
          <x14:cfRule type="cellIs" priority="18" stopIfTrue="1" operator="greaterThan" id="{A9D661A1-C2EB-431E-B51C-AE5BEC2CE22B}">
            <xm:f>(1+Projekteinstellungen!$B$9)*40*Projekteinstellungen!$B$21</xm:f>
            <x14:dxf>
              <font>
                <color rgb="FF000000"/>
              </font>
              <fill>
                <patternFill>
                  <bgColor rgb="FFF55F5F"/>
                </patternFill>
              </fill>
            </x14:dxf>
          </x14:cfRule>
          <xm:sqref>P24</xm:sqref>
        </x14:conditionalFormatting>
        <x14:conditionalFormatting xmlns:xm="http://schemas.microsoft.com/office/excel/2006/main">
          <x14:cfRule type="cellIs" priority="19" stopIfTrue="1" operator="greaterThan" id="{A793021C-5123-4AA5-B389-E3C32AEC1BEC}">
            <xm:f>(1+Projekteinstellungen!$B$9)*40*Projekteinstellungen!$B$21</xm:f>
            <x14:dxf>
              <font>
                <color rgb="FF000000"/>
              </font>
              <fill>
                <patternFill>
                  <bgColor rgb="FFF55F5F"/>
                </patternFill>
              </fill>
            </x14:dxf>
          </x14:cfRule>
          <xm:sqref>Q24</xm:sqref>
        </x14:conditionalFormatting>
        <x14:conditionalFormatting xmlns:xm="http://schemas.microsoft.com/office/excel/2006/main">
          <x14:cfRule type="cellIs" priority="20" stopIfTrue="1" operator="greaterThan" id="{B2A84880-F950-4331-871A-2EC172E78E7D}">
            <xm:f>(1+Projekteinstellungen!$B$9)*40*Projekteinstellungen!$B$21</xm:f>
            <x14:dxf>
              <font>
                <color rgb="FF000000"/>
              </font>
              <fill>
                <patternFill>
                  <bgColor rgb="FFF55F5F"/>
                </patternFill>
              </fill>
            </x14:dxf>
          </x14:cfRule>
          <xm:sqref>R24</xm:sqref>
        </x14:conditionalFormatting>
        <x14:conditionalFormatting xmlns:xm="http://schemas.microsoft.com/office/excel/2006/main">
          <x14:cfRule type="cellIs" priority="27" stopIfTrue="1" operator="greaterThan" id="{FF9B368B-6CF1-4F0B-B789-1293979F5B8F}">
            <xm:f>(1+Projekteinstellungen!$B$9)*40*Projekteinstellungen!$B$21</xm:f>
            <x14:dxf>
              <font>
                <color rgb="FF000000"/>
              </font>
              <fill>
                <patternFill>
                  <bgColor rgb="FFF55F5F"/>
                </patternFill>
              </fill>
            </x14:dxf>
          </x14:cfRule>
          <xm:sqref>Q23</xm:sqref>
        </x14:conditionalFormatting>
        <x14:conditionalFormatting xmlns:xm="http://schemas.microsoft.com/office/excel/2006/main">
          <x14:cfRule type="cellIs" priority="28" stopIfTrue="1" operator="greaterThan" id="{EAFD2CA4-B668-4FB4-AE7E-78C8C9BD61F0}">
            <xm:f>(1+Projekteinstellungen!$B$9)*40*Projekteinstellungen!$B$21</xm:f>
            <x14:dxf>
              <font>
                <color rgb="FF000000"/>
              </font>
              <fill>
                <patternFill>
                  <bgColor rgb="FFF55F5F"/>
                </patternFill>
              </fill>
            </x14:dxf>
          </x14:cfRule>
          <xm:sqref>R23</xm:sqref>
        </x14:conditionalFormatting>
        <x14:conditionalFormatting xmlns:xm="http://schemas.microsoft.com/office/excel/2006/main">
          <x14:cfRule type="cellIs" priority="29" stopIfTrue="1" operator="greaterThan" id="{3F78AC20-79F2-4158-807C-5F866CDF5CDD}">
            <xm:f>(1+Projekteinstellungen!$B$9)*40*Projekteinstellungen!$B$21</xm:f>
            <x14:dxf>
              <font>
                <color rgb="FF000000"/>
              </font>
              <fill>
                <patternFill>
                  <bgColor rgb="FFF55F5F"/>
                </patternFill>
              </fill>
            </x14:dxf>
          </x14:cfRule>
          <xm:sqref>S23</xm:sqref>
        </x14:conditionalFormatting>
        <x14:conditionalFormatting xmlns:xm="http://schemas.microsoft.com/office/excel/2006/main">
          <x14:cfRule type="cellIs" priority="30" stopIfTrue="1" operator="greaterThan" id="{A2A457F2-0872-470A-A81B-17DCC124A2BA}">
            <xm:f>(1+Projekteinstellungen!$B$9)*34*Projekteinstellungen!$B$21</xm:f>
            <x14:dxf>
              <font>
                <color rgb="FF000000"/>
              </font>
              <fill>
                <patternFill>
                  <bgColor rgb="FFF55F5F"/>
                </patternFill>
              </fill>
            </x14:dxf>
          </x14:cfRule>
          <xm:sqref>F22</xm:sqref>
        </x14:conditionalFormatting>
        <x14:conditionalFormatting xmlns:xm="http://schemas.microsoft.com/office/excel/2006/main">
          <x14:cfRule type="cellIs" priority="31" stopIfTrue="1" operator="greaterThan" id="{52ED717A-788B-42C0-8913-9422D81C1C2F}">
            <xm:f>(1+Projekteinstellungen!$B$9)*34*Projekteinstellungen!$B$21</xm:f>
            <x14:dxf>
              <font>
                <color rgb="FF000000"/>
              </font>
              <fill>
                <patternFill>
                  <bgColor rgb="FFF55F5F"/>
                </patternFill>
              </fill>
            </x14:dxf>
          </x14:cfRule>
          <xm:sqref>G22</xm:sqref>
        </x14:conditionalFormatting>
        <x14:conditionalFormatting xmlns:xm="http://schemas.microsoft.com/office/excel/2006/main">
          <x14:cfRule type="cellIs" priority="32" stopIfTrue="1" operator="greaterThan" id="{4AA92DAB-EDBF-4EC5-ABD0-88FCE5C21A0F}">
            <xm:f>(1+Projekteinstellungen!$B$9)*34*Projekteinstellungen!$B$21</xm:f>
            <x14:dxf>
              <font>
                <color rgb="FF000000"/>
              </font>
              <fill>
                <patternFill>
                  <bgColor rgb="FFF55F5F"/>
                </patternFill>
              </fill>
            </x14:dxf>
          </x14:cfRule>
          <xm:sqref>H22</xm:sqref>
        </x14:conditionalFormatting>
        <x14:conditionalFormatting xmlns:xm="http://schemas.microsoft.com/office/excel/2006/main">
          <x14:cfRule type="cellIs" priority="33" stopIfTrue="1" operator="greaterThan" id="{427C17F6-AD62-4930-B532-5BA351E7E823}">
            <xm:f>(1+Projekteinstellungen!$B$9)*34*Projekteinstellungen!$B$21</xm:f>
            <x14:dxf>
              <font>
                <color rgb="FF000000"/>
              </font>
              <fill>
                <patternFill>
                  <bgColor rgb="FFF55F5F"/>
                </patternFill>
              </fill>
            </x14:dxf>
          </x14:cfRule>
          <xm:sqref>I22</xm:sqref>
        </x14:conditionalFormatting>
        <x14:conditionalFormatting xmlns:xm="http://schemas.microsoft.com/office/excel/2006/main">
          <x14:cfRule type="cellIs" priority="34" stopIfTrue="1" operator="greaterThan" id="{F0410716-9C36-474E-B7D1-1F1B8FF6C617}">
            <xm:f>(1+Projekteinstellungen!$B$9)*34*Projekteinstellungen!$B$21</xm:f>
            <x14:dxf>
              <font>
                <color rgb="FF000000"/>
              </font>
              <fill>
                <patternFill>
                  <bgColor rgb="FFF55F5F"/>
                </patternFill>
              </fill>
            </x14:dxf>
          </x14:cfRule>
          <xm:sqref>J22</xm:sqref>
        </x14:conditionalFormatting>
        <x14:conditionalFormatting xmlns:xm="http://schemas.microsoft.com/office/excel/2006/main">
          <x14:cfRule type="cellIs" priority="35" stopIfTrue="1" operator="greaterThan" id="{761F4D31-F379-431E-A029-D20936E71764}">
            <xm:f>(1+Projekteinstellungen!$B$9)*34*Projekteinstellungen!$B$21</xm:f>
            <x14:dxf>
              <font>
                <color rgb="FF000000"/>
              </font>
              <fill>
                <patternFill>
                  <bgColor rgb="FFF55F5F"/>
                </patternFill>
              </fill>
            </x14:dxf>
          </x14:cfRule>
          <xm:sqref>K22</xm:sqref>
        </x14:conditionalFormatting>
        <x14:conditionalFormatting xmlns:xm="http://schemas.microsoft.com/office/excel/2006/main">
          <x14:cfRule type="cellIs" priority="36" stopIfTrue="1" operator="greaterThan" id="{B5EB4A0B-46E7-4F7A-A3AC-053382675732}">
            <xm:f>(1+Projekteinstellungen!$B$9)*34*Projekteinstellungen!$B$21</xm:f>
            <x14:dxf>
              <font>
                <color rgb="FF000000"/>
              </font>
              <fill>
                <patternFill>
                  <bgColor rgb="FFF55F5F"/>
                </patternFill>
              </fill>
            </x14:dxf>
          </x14:cfRule>
          <xm:sqref>L22</xm:sqref>
        </x14:conditionalFormatting>
        <x14:conditionalFormatting xmlns:xm="http://schemas.microsoft.com/office/excel/2006/main">
          <x14:cfRule type="cellIs" priority="37" stopIfTrue="1" operator="greaterThan" id="{F9D28427-2D8B-46BA-B0FD-80CC0B002659}">
            <xm:f>(1+Projekteinstellungen!$B$9)*40*Projekteinstellungen!$B$21</xm:f>
            <x14:dxf>
              <font>
                <color rgb="FF000000"/>
              </font>
              <fill>
                <patternFill>
                  <bgColor rgb="FFF55F5F"/>
                </patternFill>
              </fill>
            </x14:dxf>
          </x14:cfRule>
          <xm:sqref>F21</xm:sqref>
        </x14:conditionalFormatting>
        <x14:conditionalFormatting xmlns:xm="http://schemas.microsoft.com/office/excel/2006/main">
          <x14:cfRule type="cellIs" priority="38" stopIfTrue="1" operator="greaterThan" id="{10F0B86E-D4CD-413F-9FDA-FB952DEA1D18}">
            <xm:f>(1+Projekteinstellungen!$B$9)*40*Projekteinstellungen!$B$21</xm:f>
            <x14:dxf>
              <font>
                <color rgb="FF000000"/>
              </font>
              <fill>
                <patternFill>
                  <bgColor rgb="FFF55F5F"/>
                </patternFill>
              </fill>
            </x14:dxf>
          </x14:cfRule>
          <xm:sqref>G21</xm:sqref>
        </x14:conditionalFormatting>
        <x14:conditionalFormatting xmlns:xm="http://schemas.microsoft.com/office/excel/2006/main">
          <x14:cfRule type="cellIs" priority="39" stopIfTrue="1" operator="greaterThan" id="{F5EFBE4F-3B7E-417B-9A1B-9A2B5748406D}">
            <xm:f>(1+Projekteinstellungen!$B$9)*40*Projekteinstellungen!$B$21</xm:f>
            <x14:dxf>
              <font>
                <color rgb="FF000000"/>
              </font>
              <fill>
                <patternFill>
                  <bgColor rgb="FFF55F5F"/>
                </patternFill>
              </fill>
            </x14:dxf>
          </x14:cfRule>
          <xm:sqref>H21</xm:sqref>
        </x14:conditionalFormatting>
        <x14:conditionalFormatting xmlns:xm="http://schemas.microsoft.com/office/excel/2006/main">
          <x14:cfRule type="cellIs" priority="40" stopIfTrue="1" operator="greaterThan" id="{232C1814-AF69-414B-9DBE-DE90407E5D15}">
            <xm:f>(1+Projekteinstellungen!$B$9)*40*Projekteinstellungen!$B$21</xm:f>
            <x14:dxf>
              <font>
                <color rgb="FF000000"/>
              </font>
              <fill>
                <patternFill>
                  <bgColor rgb="FFF55F5F"/>
                </patternFill>
              </fill>
            </x14:dxf>
          </x14:cfRule>
          <xm:sqref>J21</xm:sqref>
        </x14:conditionalFormatting>
        <x14:conditionalFormatting xmlns:xm="http://schemas.microsoft.com/office/excel/2006/main">
          <x14:cfRule type="cellIs" priority="41" stopIfTrue="1" operator="greaterThan" id="{BE1EB802-241E-4DF2-948F-B0701F719804}">
            <xm:f>(1+Projekteinstellungen!$B$9)*40*Projekteinstellungen!$B$21</xm:f>
            <x14:dxf>
              <font>
                <color rgb="FF000000"/>
              </font>
              <fill>
                <patternFill>
                  <bgColor rgb="FFF55F5F"/>
                </patternFill>
              </fill>
            </x14:dxf>
          </x14:cfRule>
          <xm:sqref>K21</xm:sqref>
        </x14:conditionalFormatting>
        <x14:conditionalFormatting xmlns:xm="http://schemas.microsoft.com/office/excel/2006/main">
          <x14:cfRule type="cellIs" priority="42" stopIfTrue="1" operator="greaterThan" id="{EB0D2453-8518-4873-A06F-29E2FB535FC8}">
            <xm:f>(1+Projekteinstellungen!$B$9)*40*Projekteinstellungen!$B$21</xm:f>
            <x14:dxf>
              <font>
                <color rgb="FF000000"/>
              </font>
              <fill>
                <patternFill>
                  <bgColor rgb="FFF55F5F"/>
                </patternFill>
              </fill>
            </x14:dxf>
          </x14:cfRule>
          <xm:sqref>L21</xm:sqref>
        </x14:conditionalFormatting>
        <x14:conditionalFormatting xmlns:xm="http://schemas.microsoft.com/office/excel/2006/main">
          <x14:cfRule type="cellIs" priority="43" stopIfTrue="1" operator="greaterThan" id="{BDD04A60-6DE8-4137-8648-42D930733F54}">
            <xm:f>(1+Projekteinstellungen!$B$9)*40*Projekteinstellungen!$B$21</xm:f>
            <x14:dxf>
              <font>
                <color rgb="FF000000"/>
              </font>
              <fill>
                <patternFill>
                  <bgColor rgb="FFF55F5F"/>
                </patternFill>
              </fill>
            </x14:dxf>
          </x14:cfRule>
          <xm:sqref>M21</xm:sqref>
        </x14:conditionalFormatting>
        <x14:conditionalFormatting xmlns:xm="http://schemas.microsoft.com/office/excel/2006/main">
          <x14:cfRule type="cellIs" priority="44" stopIfTrue="1" operator="greaterThan" id="{3FE7C20C-841D-482E-A893-DA3B7125A62B}">
            <xm:f>(1+Projekteinstellungen!$B$9)*40*Projekteinstellungen!$B$21</xm:f>
            <x14:dxf>
              <font>
                <color rgb="FF000000"/>
              </font>
              <fill>
                <patternFill>
                  <bgColor rgb="FFF55F5F"/>
                </patternFill>
              </fill>
            </x14:dxf>
          </x14:cfRule>
          <xm:sqref>N21</xm:sqref>
        </x14:conditionalFormatting>
        <x14:conditionalFormatting xmlns:xm="http://schemas.microsoft.com/office/excel/2006/main">
          <x14:cfRule type="cellIs" priority="45" stopIfTrue="1" operator="greaterThan" id="{A71C6EF2-A3A5-4910-A82B-08D992FB6BFD}">
            <xm:f>(1+Projekteinstellungen!$B$9)*40*Projekteinstellungen!$B$21</xm:f>
            <x14:dxf>
              <font>
                <color rgb="FF000000"/>
              </font>
              <fill>
                <patternFill>
                  <bgColor rgb="FFF55F5F"/>
                </patternFill>
              </fill>
            </x14:dxf>
          </x14:cfRule>
          <xm:sqref>O21</xm:sqref>
        </x14:conditionalFormatting>
        <x14:conditionalFormatting xmlns:xm="http://schemas.microsoft.com/office/excel/2006/main">
          <x14:cfRule type="cellIs" priority="46" stopIfTrue="1" operator="greaterThan" id="{5F622C6A-EDFA-40F2-9774-5D2672534828}">
            <xm:f>(1+Projekteinstellungen!$B$9)*40*Projekteinstellungen!$B$21</xm:f>
            <x14:dxf>
              <font>
                <color rgb="FF000000"/>
              </font>
              <fill>
                <patternFill>
                  <bgColor rgb="FFF55F5F"/>
                </patternFill>
              </fill>
            </x14:dxf>
          </x14:cfRule>
          <xm:sqref>P21</xm:sqref>
        </x14:conditionalFormatting>
        <x14:conditionalFormatting xmlns:xm="http://schemas.microsoft.com/office/excel/2006/main">
          <x14:cfRule type="cellIs" priority="53" stopIfTrue="1" operator="greaterThan" id="{16E098F1-EEB4-48C4-95BA-B8D88E77277C}">
            <xm:f>(1+Projekteinstellungen!$B$9)*40*Projekteinstellungen!$B$21</xm:f>
            <x14:dxf>
              <font>
                <color rgb="FF000000"/>
              </font>
              <fill>
                <patternFill>
                  <bgColor rgb="FFF55F5F"/>
                </patternFill>
              </fill>
            </x14:dxf>
          </x14:cfRule>
          <xm:sqref>F20</xm:sqref>
        </x14:conditionalFormatting>
        <x14:conditionalFormatting xmlns:xm="http://schemas.microsoft.com/office/excel/2006/main">
          <x14:cfRule type="cellIs" priority="54" stopIfTrue="1" operator="greaterThan" id="{E2CAD134-7339-4FFD-A156-E181C59104F1}">
            <xm:f>(1+Projekteinstellungen!$B$9)*40*Projekteinstellungen!$B$21</xm:f>
            <x14:dxf>
              <font>
                <color rgb="FF000000"/>
              </font>
              <fill>
                <patternFill>
                  <bgColor rgb="FFF55F5F"/>
                </patternFill>
              </fill>
            </x14:dxf>
          </x14:cfRule>
          <xm:sqref>G20</xm:sqref>
        </x14:conditionalFormatting>
        <x14:conditionalFormatting xmlns:xm="http://schemas.microsoft.com/office/excel/2006/main">
          <x14:cfRule type="cellIs" priority="55" stopIfTrue="1" operator="greaterThan" id="{461D7BA0-ECF0-4BB9-916E-F03E2FAC9B70}">
            <xm:f>(1+Projekteinstellungen!$B$9)*40*Projekteinstellungen!$B$21</xm:f>
            <x14:dxf>
              <font>
                <color rgb="FF000000"/>
              </font>
              <fill>
                <patternFill>
                  <bgColor rgb="FFF55F5F"/>
                </patternFill>
              </fill>
            </x14:dxf>
          </x14:cfRule>
          <xm:sqref>H20</xm:sqref>
        </x14:conditionalFormatting>
        <x14:conditionalFormatting xmlns:xm="http://schemas.microsoft.com/office/excel/2006/main">
          <x14:cfRule type="cellIs" priority="56" stopIfTrue="1" operator="greaterThan" id="{D50C59A6-B350-4231-98F3-6F3F5C3E6379}">
            <xm:f>(1+Projekteinstellungen!$B$9)*40*Projekteinstellungen!$B$21</xm:f>
            <x14:dxf>
              <font>
                <color rgb="FF000000"/>
              </font>
              <fill>
                <patternFill>
                  <bgColor rgb="FFF55F5F"/>
                </patternFill>
              </fill>
            </x14:dxf>
          </x14:cfRule>
          <xm:sqref>I20</xm:sqref>
        </x14:conditionalFormatting>
        <x14:conditionalFormatting xmlns:xm="http://schemas.microsoft.com/office/excel/2006/main">
          <x14:cfRule type="cellIs" priority="57" stopIfTrue="1" operator="greaterThan" id="{8788331E-B5B9-4146-B997-58D5259FE09F}">
            <xm:f>(1+Projekteinstellungen!$B$9)*40*Projekteinstellungen!$B$21</xm:f>
            <x14:dxf>
              <font>
                <color rgb="FF000000"/>
              </font>
              <fill>
                <patternFill>
                  <bgColor rgb="FFF55F5F"/>
                </patternFill>
              </fill>
            </x14:dxf>
          </x14:cfRule>
          <xm:sqref>J20</xm:sqref>
        </x14:conditionalFormatting>
        <x14:conditionalFormatting xmlns:xm="http://schemas.microsoft.com/office/excel/2006/main">
          <x14:cfRule type="cellIs" priority="58" stopIfTrue="1" operator="greaterThan" id="{BFECFC5B-151C-49D0-B0E5-6B8A825FDAA9}">
            <xm:f>(1+Projekteinstellungen!$B$9)*40*Projekteinstellungen!$B$21</xm:f>
            <x14:dxf>
              <font>
                <color rgb="FF000000"/>
              </font>
              <fill>
                <patternFill>
                  <bgColor rgb="FFF55F5F"/>
                </patternFill>
              </fill>
            </x14:dxf>
          </x14:cfRule>
          <xm:sqref>K20</xm:sqref>
        </x14:conditionalFormatting>
        <x14:conditionalFormatting xmlns:xm="http://schemas.microsoft.com/office/excel/2006/main">
          <x14:cfRule type="cellIs" priority="59" stopIfTrue="1" operator="greaterThan" id="{206411E9-A701-4E6E-BC9E-607CC249E754}">
            <xm:f>(1+Projekteinstellungen!$B$9)*40*Projekteinstellungen!$B$21</xm:f>
            <x14:dxf>
              <font>
                <color rgb="FF000000"/>
              </font>
              <fill>
                <patternFill>
                  <bgColor rgb="FFF55F5F"/>
                </patternFill>
              </fill>
            </x14:dxf>
          </x14:cfRule>
          <xm:sqref>L20</xm:sqref>
        </x14:conditionalFormatting>
        <x14:conditionalFormatting xmlns:xm="http://schemas.microsoft.com/office/excel/2006/main">
          <x14:cfRule type="cellIs" priority="60" stopIfTrue="1" operator="greaterThan" id="{71C85D71-CB74-4073-8251-7316E7E77330}">
            <xm:f>(1+Projekteinstellungen!$B$9)*40*Projekteinstellungen!$B$21</xm:f>
            <x14:dxf>
              <font>
                <color rgb="FF000000"/>
              </font>
              <fill>
                <patternFill>
                  <bgColor rgb="FFF55F5F"/>
                </patternFill>
              </fill>
            </x14:dxf>
          </x14:cfRule>
          <xm:sqref>M20</xm:sqref>
        </x14:conditionalFormatting>
        <x14:conditionalFormatting xmlns:xm="http://schemas.microsoft.com/office/excel/2006/main">
          <x14:cfRule type="cellIs" priority="61" stopIfTrue="1" operator="greaterThan" id="{1D6EB9B5-601F-4067-A485-4DFF7AA6B94A}">
            <xm:f>(1+Projekteinstellungen!$B$9)*40*Projekteinstellungen!$B$21</xm:f>
            <x14:dxf>
              <font>
                <color rgb="FF000000"/>
              </font>
              <fill>
                <patternFill>
                  <bgColor rgb="FFF55F5F"/>
                </patternFill>
              </fill>
            </x14:dxf>
          </x14:cfRule>
          <xm:sqref>N20</xm:sqref>
        </x14:conditionalFormatting>
        <x14:conditionalFormatting xmlns:xm="http://schemas.microsoft.com/office/excel/2006/main">
          <x14:cfRule type="cellIs" priority="62" stopIfTrue="1" operator="greaterThan" id="{D660F1A8-14B2-44E2-8894-4A6FF83382E4}">
            <xm:f>(1+Projekteinstellungen!$B$9)*40*Projekteinstellungen!$B$21</xm:f>
            <x14:dxf>
              <font>
                <color rgb="FF000000"/>
              </font>
              <fill>
                <patternFill>
                  <bgColor rgb="FFF55F5F"/>
                </patternFill>
              </fill>
            </x14:dxf>
          </x14:cfRule>
          <xm:sqref>O20</xm:sqref>
        </x14:conditionalFormatting>
        <x14:conditionalFormatting xmlns:xm="http://schemas.microsoft.com/office/excel/2006/main">
          <x14:cfRule type="cellIs" priority="63" stopIfTrue="1" operator="greaterThan" id="{6769FA2C-FE18-4449-8B42-AEC76ACB9CB4}">
            <xm:f>(1+Projekteinstellungen!$B$9)*40*Projekteinstellungen!$B$21</xm:f>
            <x14:dxf>
              <font>
                <color rgb="FF000000"/>
              </font>
              <fill>
                <patternFill>
                  <bgColor rgb="FFF55F5F"/>
                </patternFill>
              </fill>
            </x14:dxf>
          </x14:cfRule>
          <xm:sqref>P20</xm:sqref>
        </x14:conditionalFormatting>
        <x14:conditionalFormatting xmlns:xm="http://schemas.microsoft.com/office/excel/2006/main">
          <x14:cfRule type="cellIs" priority="64" stopIfTrue="1" operator="greaterThan" id="{EC56AB5C-99B2-408F-9C9B-FF0D03650126}">
            <xm:f>(1+Projekteinstellungen!$B$9)*40*Projekteinstellungen!$B$21</xm:f>
            <x14:dxf>
              <font>
                <color rgb="FF000000"/>
              </font>
              <fill>
                <patternFill>
                  <bgColor rgb="FFF55F5F"/>
                </patternFill>
              </fill>
            </x14:dxf>
          </x14:cfRule>
          <xm:sqref>Q20</xm:sqref>
        </x14:conditionalFormatting>
        <x14:conditionalFormatting xmlns:xm="http://schemas.microsoft.com/office/excel/2006/main">
          <x14:cfRule type="cellIs" priority="65" stopIfTrue="1" operator="greaterThan" id="{B1580920-8534-4AB5-A1A6-963A0F1B6A49}">
            <xm:f>(1+Projekteinstellungen!$B$9)*40*Projekteinstellungen!$B$21</xm:f>
            <x14:dxf>
              <font>
                <color rgb="FF000000"/>
              </font>
              <fill>
                <patternFill>
                  <bgColor rgb="FFF55F5F"/>
                </patternFill>
              </fill>
            </x14:dxf>
          </x14:cfRule>
          <xm:sqref>R20</xm:sqref>
        </x14:conditionalFormatting>
        <x14:conditionalFormatting xmlns:xm="http://schemas.microsoft.com/office/excel/2006/main">
          <x14:cfRule type="cellIs" priority="70" stopIfTrue="1" operator="greaterThan" id="{467061A3-8BF1-4DBF-AA29-154451135EC7}">
            <xm:f>(1+Projekteinstellungen!$B$9)*40*Projekteinstellungen!$B$21</xm:f>
            <x14:dxf>
              <font>
                <color rgb="FF000000"/>
              </font>
              <fill>
                <patternFill>
                  <bgColor rgb="FFF55F5F"/>
                </patternFill>
              </fill>
            </x14:dxf>
          </x14:cfRule>
          <xm:sqref>G18</xm:sqref>
        </x14:conditionalFormatting>
        <x14:conditionalFormatting xmlns:xm="http://schemas.microsoft.com/office/excel/2006/main">
          <x14:cfRule type="cellIs" priority="71" stopIfTrue="1" operator="greaterThan" id="{30579E90-29A2-4F31-80B8-30DEB9F129B3}">
            <xm:f>(1+Projekteinstellungen!$B$9)*40*Projekteinstellungen!$B$21</xm:f>
            <x14:dxf>
              <font>
                <color rgb="FF000000"/>
              </font>
              <fill>
                <patternFill>
                  <bgColor rgb="FFF55F5F"/>
                </patternFill>
              </fill>
            </x14:dxf>
          </x14:cfRule>
          <xm:sqref>H18</xm:sqref>
        </x14:conditionalFormatting>
        <x14:conditionalFormatting xmlns:xm="http://schemas.microsoft.com/office/excel/2006/main">
          <x14:cfRule type="cellIs" priority="72" stopIfTrue="1" operator="greaterThan" id="{4D301109-408B-4DBA-990F-651555DD89C3}">
            <xm:f>(1+Projekteinstellungen!$B$9)*40*Projekteinstellungen!$B$21</xm:f>
            <x14:dxf>
              <font>
                <color rgb="FF000000"/>
              </font>
              <fill>
                <patternFill>
                  <bgColor rgb="FFF55F5F"/>
                </patternFill>
              </fill>
            </x14:dxf>
          </x14:cfRule>
          <xm:sqref>I18</xm:sqref>
        </x14:conditionalFormatting>
        <x14:conditionalFormatting xmlns:xm="http://schemas.microsoft.com/office/excel/2006/main">
          <x14:cfRule type="cellIs" priority="73" stopIfTrue="1" operator="greaterThan" id="{AEAF06A3-5B80-4F5D-9FB5-21D908BBFCF9}">
            <xm:f>(1+Projekteinstellungen!$B$9)*40*Projekteinstellungen!$B$21</xm:f>
            <x14:dxf>
              <font>
                <color rgb="FF000000"/>
              </font>
              <fill>
                <patternFill>
                  <bgColor rgb="FFF55F5F"/>
                </patternFill>
              </fill>
            </x14:dxf>
          </x14:cfRule>
          <xm:sqref>J18</xm:sqref>
        </x14:conditionalFormatting>
        <x14:conditionalFormatting xmlns:xm="http://schemas.microsoft.com/office/excel/2006/main">
          <x14:cfRule type="cellIs" priority="74" stopIfTrue="1" operator="greaterThan" id="{114D3EDB-F3A0-48EC-86F4-30B2F5B0D6C2}">
            <xm:f>(1+Projekteinstellungen!$B$9)*40*Projekteinstellungen!$B$21</xm:f>
            <x14:dxf>
              <font>
                <color rgb="FF000000"/>
              </font>
              <fill>
                <patternFill>
                  <bgColor rgb="FFF55F5F"/>
                </patternFill>
              </fill>
            </x14:dxf>
          </x14:cfRule>
          <xm:sqref>K18</xm:sqref>
        </x14:conditionalFormatting>
        <x14:conditionalFormatting xmlns:xm="http://schemas.microsoft.com/office/excel/2006/main">
          <x14:cfRule type="cellIs" priority="75" stopIfTrue="1" operator="greaterThan" id="{72011A8A-C564-4994-A016-A9E7E7016644}">
            <xm:f>(1+Projekteinstellungen!$B$9)*40*Projekteinstellungen!$B$21</xm:f>
            <x14:dxf>
              <font>
                <color rgb="FF000000"/>
              </font>
              <fill>
                <patternFill>
                  <bgColor rgb="FFF55F5F"/>
                </patternFill>
              </fill>
            </x14:dxf>
          </x14:cfRule>
          <xm:sqref>L18</xm:sqref>
        </x14:conditionalFormatting>
        <x14:conditionalFormatting xmlns:xm="http://schemas.microsoft.com/office/excel/2006/main">
          <x14:cfRule type="cellIs" priority="76" stopIfTrue="1" operator="greaterThan" id="{5E202350-702C-4A91-8F38-48803FD934F0}">
            <xm:f>(1+Projekteinstellungen!$B$9)*40*Projekteinstellungen!$B$21</xm:f>
            <x14:dxf>
              <font>
                <color rgb="FF000000"/>
              </font>
              <fill>
                <patternFill>
                  <bgColor rgb="FFF55F5F"/>
                </patternFill>
              </fill>
            </x14:dxf>
          </x14:cfRule>
          <xm:sqref>M18</xm:sqref>
        </x14:conditionalFormatting>
        <x14:conditionalFormatting xmlns:xm="http://schemas.microsoft.com/office/excel/2006/main">
          <x14:cfRule type="cellIs" priority="77" stopIfTrue="1" operator="greaterThan" id="{90982436-7354-4249-A51B-6F5D4332D069}">
            <xm:f>(1+Projekteinstellungen!$B$9)*40*Projekteinstellungen!$B$21</xm:f>
            <x14:dxf>
              <font>
                <color rgb="FF000000"/>
              </font>
              <fill>
                <patternFill>
                  <bgColor rgb="FFF55F5F"/>
                </patternFill>
              </fill>
            </x14:dxf>
          </x14:cfRule>
          <xm:sqref>O18</xm:sqref>
        </x14:conditionalFormatting>
        <x14:conditionalFormatting xmlns:xm="http://schemas.microsoft.com/office/excel/2006/main">
          <x14:cfRule type="cellIs" priority="78" stopIfTrue="1" operator="greaterThan" id="{52298315-56F1-4F14-8DED-E3BDEC512D1F}">
            <xm:f>(1+Projekteinstellungen!$B$9)*40*Projekteinstellungen!$B$21</xm:f>
            <x14:dxf>
              <font>
                <color rgb="FF000000"/>
              </font>
              <fill>
                <patternFill>
                  <bgColor rgb="FFF55F5F"/>
                </patternFill>
              </fill>
            </x14:dxf>
          </x14:cfRule>
          <xm:sqref>P18</xm:sqref>
        </x14:conditionalFormatting>
        <x14:conditionalFormatting xmlns:xm="http://schemas.microsoft.com/office/excel/2006/main">
          <x14:cfRule type="cellIs" priority="79" stopIfTrue="1" operator="greaterThan" id="{BBA1D11C-F8B0-4D31-8209-FA7871EC239C}">
            <xm:f>(1+Projekteinstellungen!$B$9)*40*Projekteinstellungen!$B$21</xm:f>
            <x14:dxf>
              <font>
                <color rgb="FF000000"/>
              </font>
              <fill>
                <patternFill>
                  <bgColor rgb="FFF55F5F"/>
                </patternFill>
              </fill>
            </x14:dxf>
          </x14:cfRule>
          <xm:sqref>Q18</xm:sqref>
        </x14:conditionalFormatting>
        <x14:conditionalFormatting xmlns:xm="http://schemas.microsoft.com/office/excel/2006/main">
          <x14:cfRule type="cellIs" priority="80" stopIfTrue="1" operator="greaterThan" id="{E99E272B-00F3-4FB2-815D-50EB3EF500C7}">
            <xm:f>(1+Projekteinstellungen!$B$9)*40*Projekteinstellungen!$B$21</xm:f>
            <x14:dxf>
              <font>
                <color rgb="FF000000"/>
              </font>
              <fill>
                <patternFill>
                  <bgColor rgb="FFF55F5F"/>
                </patternFill>
              </fill>
            </x14:dxf>
          </x14:cfRule>
          <xm:sqref>R18</xm:sqref>
        </x14:conditionalFormatting>
        <x14:conditionalFormatting xmlns:xm="http://schemas.microsoft.com/office/excel/2006/main">
          <x14:cfRule type="cellIs" priority="81" stopIfTrue="1" operator="greaterThan" id="{B0A3DBBC-B665-401B-A19F-49E09CAD4409}">
            <xm:f>(1+Projekteinstellungen!$B$9)*40*Projekteinstellungen!$B$21</xm:f>
            <x14:dxf>
              <font>
                <color rgb="FF000000"/>
              </font>
              <fill>
                <patternFill>
                  <bgColor rgb="FFF55F5F"/>
                </patternFill>
              </fill>
            </x14:dxf>
          </x14:cfRule>
          <xm:sqref>L17</xm:sqref>
        </x14:conditionalFormatting>
        <x14:conditionalFormatting xmlns:xm="http://schemas.microsoft.com/office/excel/2006/main">
          <x14:cfRule type="cellIs" priority="82" stopIfTrue="1" operator="greaterThan" id="{37EB99D5-3BC3-4561-9209-C8524B667A8A}">
            <xm:f>(1+Projekteinstellungen!$B$9)*40*Projekteinstellungen!$B$21</xm:f>
            <x14:dxf>
              <font>
                <color rgb="FF000000"/>
              </font>
              <fill>
                <patternFill>
                  <bgColor rgb="FFF55F5F"/>
                </patternFill>
              </fill>
            </x14:dxf>
          </x14:cfRule>
          <xm:sqref>M17</xm:sqref>
        </x14:conditionalFormatting>
        <x14:conditionalFormatting xmlns:xm="http://schemas.microsoft.com/office/excel/2006/main">
          <x14:cfRule type="cellIs" priority="83" stopIfTrue="1" operator="greaterThan" id="{212116E9-2883-4542-A19A-7D1FD9A6F6EE}">
            <xm:f>(1+Projekteinstellungen!$B$9)*40*Projekteinstellungen!$B$21</xm:f>
            <x14:dxf>
              <font>
                <color rgb="FF000000"/>
              </font>
              <fill>
                <patternFill>
                  <bgColor rgb="FFF55F5F"/>
                </patternFill>
              </fill>
            </x14:dxf>
          </x14:cfRule>
          <xm:sqref>N17</xm:sqref>
        </x14:conditionalFormatting>
        <x14:conditionalFormatting xmlns:xm="http://schemas.microsoft.com/office/excel/2006/main">
          <x14:cfRule type="cellIs" priority="84" stopIfTrue="1" operator="greaterThan" id="{76965423-A548-41BB-B1CA-7B862B72436D}">
            <xm:f>(1+Projekteinstellungen!$B$9)*40*Projekteinstellungen!$B$21</xm:f>
            <x14:dxf>
              <font>
                <color rgb="FF000000"/>
              </font>
              <fill>
                <patternFill>
                  <bgColor rgb="FFF55F5F"/>
                </patternFill>
              </fill>
            </x14:dxf>
          </x14:cfRule>
          <xm:sqref>O17</xm:sqref>
        </x14:conditionalFormatting>
        <x14:conditionalFormatting xmlns:xm="http://schemas.microsoft.com/office/excel/2006/main">
          <x14:cfRule type="cellIs" priority="85" stopIfTrue="1" operator="greaterThan" id="{0DE343D9-229C-4140-A083-A442FD0E9914}">
            <xm:f>(1+Projekteinstellungen!$B$9)*40*Projekteinstellungen!$B$21</xm:f>
            <x14:dxf>
              <font>
                <color rgb="FF000000"/>
              </font>
              <fill>
                <patternFill>
                  <bgColor rgb="FFF55F5F"/>
                </patternFill>
              </fill>
            </x14:dxf>
          </x14:cfRule>
          <xm:sqref>P17</xm:sqref>
        </x14:conditionalFormatting>
        <x14:conditionalFormatting xmlns:xm="http://schemas.microsoft.com/office/excel/2006/main">
          <x14:cfRule type="cellIs" priority="86" stopIfTrue="1" operator="greaterThan" id="{F406BC26-5D27-46CB-A357-DCC2E6CA7D3E}">
            <xm:f>(1+Projekteinstellungen!$B$9)*40*Projekteinstellungen!$B$21</xm:f>
            <x14:dxf>
              <font>
                <color rgb="FF000000"/>
              </font>
              <fill>
                <patternFill>
                  <bgColor rgb="FFF55F5F"/>
                </patternFill>
              </fill>
            </x14:dxf>
          </x14:cfRule>
          <xm:sqref>Q17</xm:sqref>
        </x14:conditionalFormatting>
        <x14:conditionalFormatting xmlns:xm="http://schemas.microsoft.com/office/excel/2006/main">
          <x14:cfRule type="cellIs" priority="87" stopIfTrue="1" operator="greaterThan" id="{FE51A528-2BFA-4665-8C03-DD5C981A9E1D}">
            <xm:f>(1+Projekteinstellungen!$B$9)*40*Projekteinstellungen!$B$21</xm:f>
            <x14:dxf>
              <font>
                <color rgb="FF000000"/>
              </font>
              <fill>
                <patternFill>
                  <bgColor rgb="FFF55F5F"/>
                </patternFill>
              </fill>
            </x14:dxf>
          </x14:cfRule>
          <xm:sqref>R17</xm:sqref>
        </x14:conditionalFormatting>
        <x14:conditionalFormatting xmlns:xm="http://schemas.microsoft.com/office/excel/2006/main">
          <x14:cfRule type="cellIs" priority="94" stopIfTrue="1" operator="greaterThan" id="{FAEC35E8-F345-45FE-9EE1-CD062E2D0177}">
            <xm:f>(1+Projekteinstellungen!$B$9)*40*Projekteinstellungen!$B$21</xm:f>
            <x14:dxf>
              <font>
                <color rgb="FF000000"/>
              </font>
              <fill>
                <patternFill>
                  <bgColor rgb="FFF55F5F"/>
                </patternFill>
              </fill>
            </x14:dxf>
          </x14:cfRule>
          <xm:sqref>F16</xm:sqref>
        </x14:conditionalFormatting>
        <x14:conditionalFormatting xmlns:xm="http://schemas.microsoft.com/office/excel/2006/main">
          <x14:cfRule type="cellIs" priority="95" stopIfTrue="1" operator="greaterThan" id="{E350D7D4-677A-4275-BFBA-28BF690B2835}">
            <xm:f>(1+Projekteinstellungen!$B$9)*40*Projekteinstellungen!$B$21</xm:f>
            <x14:dxf>
              <font>
                <color rgb="FF000000"/>
              </font>
              <fill>
                <patternFill>
                  <bgColor rgb="FFF55F5F"/>
                </patternFill>
              </fill>
            </x14:dxf>
          </x14:cfRule>
          <xm:sqref>G16</xm:sqref>
        </x14:conditionalFormatting>
        <x14:conditionalFormatting xmlns:xm="http://schemas.microsoft.com/office/excel/2006/main">
          <x14:cfRule type="cellIs" priority="96" stopIfTrue="1" operator="greaterThan" id="{0816CD10-22C8-429C-828E-BAEF90AECB66}">
            <xm:f>(1+Projekteinstellungen!$B$9)*40*Projekteinstellungen!$B$21</xm:f>
            <x14:dxf>
              <font>
                <color rgb="FF000000"/>
              </font>
              <fill>
                <patternFill>
                  <bgColor rgb="FFF55F5F"/>
                </patternFill>
              </fill>
            </x14:dxf>
          </x14:cfRule>
          <xm:sqref>H16</xm:sqref>
        </x14:conditionalFormatting>
        <x14:conditionalFormatting xmlns:xm="http://schemas.microsoft.com/office/excel/2006/main">
          <x14:cfRule type="cellIs" priority="97" stopIfTrue="1" operator="greaterThan" id="{15FB7EFE-F51E-46FA-AAE9-0B2CCA9BD8B8}">
            <xm:f>(1+Projekteinstellungen!$B$9)*40*Projekteinstellungen!$B$21</xm:f>
            <x14:dxf>
              <font>
                <color rgb="FF000000"/>
              </font>
              <fill>
                <patternFill>
                  <bgColor rgb="FFF55F5F"/>
                </patternFill>
              </fill>
            </x14:dxf>
          </x14:cfRule>
          <xm:sqref>I16</xm:sqref>
        </x14:conditionalFormatting>
        <x14:conditionalFormatting xmlns:xm="http://schemas.microsoft.com/office/excel/2006/main">
          <x14:cfRule type="cellIs" priority="98" stopIfTrue="1" operator="greaterThan" id="{4EB1682D-E063-4451-9033-739EC66AC510}">
            <xm:f>(1+Projekteinstellungen!$B$9)*40*Projekteinstellungen!$B$21</xm:f>
            <x14:dxf>
              <font>
                <color rgb="FF000000"/>
              </font>
              <fill>
                <patternFill>
                  <bgColor rgb="FFF55F5F"/>
                </patternFill>
              </fill>
            </x14:dxf>
          </x14:cfRule>
          <xm:sqref>J16</xm:sqref>
        </x14:conditionalFormatting>
        <x14:conditionalFormatting xmlns:xm="http://schemas.microsoft.com/office/excel/2006/main">
          <x14:cfRule type="cellIs" priority="99" stopIfTrue="1" operator="greaterThan" id="{294E18C2-94A3-4FAD-A149-CF6E3011B4A1}">
            <xm:f>(1+Projekteinstellungen!$B$9)*40*Projekteinstellungen!$B$21</xm:f>
            <x14:dxf>
              <font>
                <color rgb="FF000000"/>
              </font>
              <fill>
                <patternFill>
                  <bgColor rgb="FFF55F5F"/>
                </patternFill>
              </fill>
            </x14:dxf>
          </x14:cfRule>
          <xm:sqref>K16</xm:sqref>
        </x14:conditionalFormatting>
        <x14:conditionalFormatting xmlns:xm="http://schemas.microsoft.com/office/excel/2006/main">
          <x14:cfRule type="cellIs" priority="100" stopIfTrue="1" operator="greaterThan" id="{9111B46E-B5C1-4DF9-8114-1C24D670B32D}">
            <xm:f>(1+Projekteinstellungen!$B$9)*40*Projekteinstellungen!$B$21</xm:f>
            <x14:dxf>
              <font>
                <color rgb="FF000000"/>
              </font>
              <fill>
                <patternFill>
                  <bgColor rgb="FFF55F5F"/>
                </patternFill>
              </fill>
            </x14:dxf>
          </x14:cfRule>
          <xm:sqref>L16</xm:sqref>
        </x14:conditionalFormatting>
        <x14:conditionalFormatting xmlns:xm="http://schemas.microsoft.com/office/excel/2006/main">
          <x14:cfRule type="cellIs" priority="101" stopIfTrue="1" operator="greaterThan" id="{022FADE5-6256-42FE-A8D4-3245F12D634B}">
            <xm:f>(1+Projekteinstellungen!$B$9)*40*Projekteinstellungen!$B$21</xm:f>
            <x14:dxf>
              <font>
                <color rgb="FF000000"/>
              </font>
              <fill>
                <patternFill>
                  <bgColor rgb="FFF55F5F"/>
                </patternFill>
              </fill>
            </x14:dxf>
          </x14:cfRule>
          <xm:sqref>M16</xm:sqref>
        </x14:conditionalFormatting>
        <x14:conditionalFormatting xmlns:xm="http://schemas.microsoft.com/office/excel/2006/main">
          <x14:cfRule type="cellIs" priority="102" stopIfTrue="1" operator="greaterThan" id="{A698CBEC-8656-428F-BDB1-2BB093EEF138}">
            <xm:f>(1+Projekteinstellungen!$B$9)*40*Projekteinstellungen!$B$21</xm:f>
            <x14:dxf>
              <font>
                <color rgb="FF000000"/>
              </font>
              <fill>
                <patternFill>
                  <bgColor rgb="FFF55F5F"/>
                </patternFill>
              </fill>
            </x14:dxf>
          </x14:cfRule>
          <xm:sqref>N16</xm:sqref>
        </x14:conditionalFormatting>
        <x14:conditionalFormatting xmlns:xm="http://schemas.microsoft.com/office/excel/2006/main">
          <x14:cfRule type="cellIs" priority="103" stopIfTrue="1" operator="greaterThan" id="{7133B376-3291-461D-91C8-2478D19A5C98}">
            <xm:f>(1+Projekteinstellungen!$B$9)*40*Projekteinstellungen!$B$21</xm:f>
            <x14:dxf>
              <font>
                <color rgb="FF000000"/>
              </font>
              <fill>
                <patternFill>
                  <bgColor rgb="FFF55F5F"/>
                </patternFill>
              </fill>
            </x14:dxf>
          </x14:cfRule>
          <xm:sqref>O16</xm:sqref>
        </x14:conditionalFormatting>
        <x14:conditionalFormatting xmlns:xm="http://schemas.microsoft.com/office/excel/2006/main">
          <x14:cfRule type="cellIs" priority="104" stopIfTrue="1" operator="greaterThan" id="{7D3F2750-3A5A-412F-A56F-4C063AE35B1B}">
            <xm:f>(1+Projekteinstellungen!$B$9)*40*Projekteinstellungen!$B$21</xm:f>
            <x14:dxf>
              <font>
                <color rgb="FF000000"/>
              </font>
              <fill>
                <patternFill>
                  <bgColor rgb="FFF55F5F"/>
                </patternFill>
              </fill>
            </x14:dxf>
          </x14:cfRule>
          <xm:sqref>P16</xm:sqref>
        </x14:conditionalFormatting>
        <x14:conditionalFormatting xmlns:xm="http://schemas.microsoft.com/office/excel/2006/main">
          <x14:cfRule type="cellIs" priority="105" stopIfTrue="1" operator="greaterThan" id="{48778E97-894F-4703-A462-DFEB289083E6}">
            <xm:f>(1+Projekteinstellungen!$B$9)*40*Projekteinstellungen!$B$21</xm:f>
            <x14:dxf>
              <font>
                <color rgb="FF000000"/>
              </font>
              <fill>
                <patternFill>
                  <bgColor rgb="FFF55F5F"/>
                </patternFill>
              </fill>
            </x14:dxf>
          </x14:cfRule>
          <xm:sqref>Q16</xm:sqref>
        </x14:conditionalFormatting>
        <x14:conditionalFormatting xmlns:xm="http://schemas.microsoft.com/office/excel/2006/main">
          <x14:cfRule type="cellIs" priority="110" stopIfTrue="1" operator="greaterThan" id="{D37D8E5D-1505-4961-B581-5C3919F15310}">
            <xm:f>(1+Projekteinstellungen!$B$9)*40*Projekteinstellungen!$B$21</xm:f>
            <x14:dxf>
              <font>
                <color rgb="FF000000"/>
              </font>
              <fill>
                <patternFill>
                  <bgColor rgb="FFF55F5F"/>
                </patternFill>
              </fill>
            </x14:dxf>
          </x14:cfRule>
          <xm:sqref>F15</xm:sqref>
        </x14:conditionalFormatting>
        <x14:conditionalFormatting xmlns:xm="http://schemas.microsoft.com/office/excel/2006/main">
          <x14:cfRule type="cellIs" priority="111" stopIfTrue="1" operator="greaterThan" id="{4E64B213-834B-43E7-B2D2-32AB40155B69}">
            <xm:f>(1+Projekteinstellungen!$B$9)*40*Projekteinstellungen!$B$21</xm:f>
            <x14:dxf>
              <font>
                <color rgb="FF000000"/>
              </font>
              <fill>
                <patternFill>
                  <bgColor rgb="FFF55F5F"/>
                </patternFill>
              </fill>
            </x14:dxf>
          </x14:cfRule>
          <xm:sqref>H15</xm:sqref>
        </x14:conditionalFormatting>
        <x14:conditionalFormatting xmlns:xm="http://schemas.microsoft.com/office/excel/2006/main">
          <x14:cfRule type="cellIs" priority="112" stopIfTrue="1" operator="greaterThan" id="{8D02E077-BE3D-4D01-A4B6-5A180C66FCDD}">
            <xm:f>(1+Projekteinstellungen!$B$9)*40*Projekteinstellungen!$B$21</xm:f>
            <x14:dxf>
              <font>
                <color rgb="FF000000"/>
              </font>
              <fill>
                <patternFill>
                  <bgColor rgb="FFF55F5F"/>
                </patternFill>
              </fill>
            </x14:dxf>
          </x14:cfRule>
          <xm:sqref>I15</xm:sqref>
        </x14:conditionalFormatting>
        <x14:conditionalFormatting xmlns:xm="http://schemas.microsoft.com/office/excel/2006/main">
          <x14:cfRule type="cellIs" priority="113" stopIfTrue="1" operator="greaterThan" id="{0E644F6C-DB72-43C3-B004-96835ADF6C54}">
            <xm:f>(1+Projekteinstellungen!$B$9)*40*Projekteinstellungen!$B$21</xm:f>
            <x14:dxf>
              <font>
                <color rgb="FF000000"/>
              </font>
              <fill>
                <patternFill>
                  <bgColor rgb="FFF55F5F"/>
                </patternFill>
              </fill>
            </x14:dxf>
          </x14:cfRule>
          <xm:sqref>K15</xm:sqref>
        </x14:conditionalFormatting>
        <x14:conditionalFormatting xmlns:xm="http://schemas.microsoft.com/office/excel/2006/main">
          <x14:cfRule type="cellIs" priority="114" stopIfTrue="1" operator="greaterThan" id="{41025991-0896-4DF4-8068-C889AC54030C}">
            <xm:f>(1+Projekteinstellungen!$B$9)*40*Projekteinstellungen!$B$21</xm:f>
            <x14:dxf>
              <font>
                <color rgb="FF000000"/>
              </font>
              <fill>
                <patternFill>
                  <bgColor rgb="FFF55F5F"/>
                </patternFill>
              </fill>
            </x14:dxf>
          </x14:cfRule>
          <xm:sqref>L15</xm:sqref>
        </x14:conditionalFormatting>
        <x14:conditionalFormatting xmlns:xm="http://schemas.microsoft.com/office/excel/2006/main">
          <x14:cfRule type="cellIs" priority="115" stopIfTrue="1" operator="greaterThan" id="{A1E74A26-3E1F-43DD-BEA8-FAD20E972112}">
            <xm:f>(1+Projekteinstellungen!$B$9)*40*Projekteinstellungen!$B$21</xm:f>
            <x14:dxf>
              <font>
                <color rgb="FF000000"/>
              </font>
              <fill>
                <patternFill>
                  <bgColor rgb="FFF55F5F"/>
                </patternFill>
              </fill>
            </x14:dxf>
          </x14:cfRule>
          <xm:sqref>M15</xm:sqref>
        </x14:conditionalFormatting>
        <x14:conditionalFormatting xmlns:xm="http://schemas.microsoft.com/office/excel/2006/main">
          <x14:cfRule type="cellIs" priority="116" stopIfTrue="1" operator="greaterThan" id="{3214ED69-1DF8-4B46-8EAF-8BA10C26F80A}">
            <xm:f>(1+Projekteinstellungen!$B$9)*40*Projekteinstellungen!$B$21</xm:f>
            <x14:dxf>
              <font>
                <color rgb="FF000000"/>
              </font>
              <fill>
                <patternFill>
                  <bgColor rgb="FFF55F5F"/>
                </patternFill>
              </fill>
            </x14:dxf>
          </x14:cfRule>
          <xm:sqref>N15</xm:sqref>
        </x14:conditionalFormatting>
        <x14:conditionalFormatting xmlns:xm="http://schemas.microsoft.com/office/excel/2006/main">
          <x14:cfRule type="cellIs" priority="117" stopIfTrue="1" operator="greaterThan" id="{91F4B9E7-1F9A-4645-8C06-947BA210949D}">
            <xm:f>(1+Projekteinstellungen!$B$9)*40*Projekteinstellungen!$B$21</xm:f>
            <x14:dxf>
              <font>
                <color rgb="FF000000"/>
              </font>
              <fill>
                <patternFill>
                  <bgColor rgb="FFF55F5F"/>
                </patternFill>
              </fill>
            </x14:dxf>
          </x14:cfRule>
          <xm:sqref>O15</xm:sqref>
        </x14:conditionalFormatting>
        <x14:conditionalFormatting xmlns:xm="http://schemas.microsoft.com/office/excel/2006/main">
          <x14:cfRule type="cellIs" priority="118" stopIfTrue="1" operator="greaterThan" id="{175B6D9A-BE45-460B-91CC-27C6ACB338B2}">
            <xm:f>(1+Projekteinstellungen!$B$9)*40*Projekteinstellungen!$B$21</xm:f>
            <x14:dxf>
              <font>
                <color rgb="FF000000"/>
              </font>
              <fill>
                <patternFill>
                  <bgColor rgb="FFF55F5F"/>
                </patternFill>
              </fill>
            </x14:dxf>
          </x14:cfRule>
          <xm:sqref>P15</xm:sqref>
        </x14:conditionalFormatting>
        <x14:conditionalFormatting xmlns:xm="http://schemas.microsoft.com/office/excel/2006/main">
          <x14:cfRule type="cellIs" priority="119" stopIfTrue="1" operator="greaterThan" id="{89ED6CA6-0C39-44B0-AA70-32B469741C56}">
            <xm:f>(1+Projekteinstellungen!$B$9)*40*Projekteinstellungen!$B$21</xm:f>
            <x14:dxf>
              <font>
                <color rgb="FF000000"/>
              </font>
              <fill>
                <patternFill>
                  <bgColor rgb="FFF55F5F"/>
                </patternFill>
              </fill>
            </x14:dxf>
          </x14:cfRule>
          <xm:sqref>Q15</xm:sqref>
        </x14:conditionalFormatting>
        <x14:conditionalFormatting xmlns:xm="http://schemas.microsoft.com/office/excel/2006/main">
          <x14:cfRule type="cellIs" priority="120" stopIfTrue="1" operator="greaterThan" id="{3B575900-3ACC-4882-8726-28B634FE9892}">
            <xm:f>(1+Projekteinstellungen!$B$9)*40*Projekteinstellungen!$B$21</xm:f>
            <x14:dxf>
              <font>
                <color rgb="FF000000"/>
              </font>
              <fill>
                <patternFill>
                  <bgColor rgb="FFF55F5F"/>
                </patternFill>
              </fill>
            </x14:dxf>
          </x14:cfRule>
          <xm:sqref>R15</xm:sqref>
        </x14:conditionalFormatting>
        <x14:conditionalFormatting xmlns:xm="http://schemas.microsoft.com/office/excel/2006/main">
          <x14:cfRule type="cellIs" priority="127" stopIfTrue="1" operator="greaterThan" id="{BA27C110-3B31-4D3A-BF2D-C8950CEFC2CE}">
            <xm:f>(1+Projekteinstellungen!$B$9)*35*Projekteinstellungen!$B$21</xm:f>
            <x14:dxf>
              <font>
                <color rgb="FF000000"/>
              </font>
              <fill>
                <patternFill>
                  <bgColor rgb="FFF55F5F"/>
                </patternFill>
              </fill>
            </x14:dxf>
          </x14:cfRule>
          <xm:sqref>F14</xm:sqref>
        </x14:conditionalFormatting>
        <x14:conditionalFormatting xmlns:xm="http://schemas.microsoft.com/office/excel/2006/main">
          <x14:cfRule type="cellIs" priority="128" stopIfTrue="1" operator="greaterThan" id="{2ED086C6-8C5C-4358-85DD-0C66EEF58721}">
            <xm:f>(1+Projekteinstellungen!$B$9)*35*Projekteinstellungen!$B$21</xm:f>
            <x14:dxf>
              <font>
                <color rgb="FF000000"/>
              </font>
              <fill>
                <patternFill>
                  <bgColor rgb="FFF55F5F"/>
                </patternFill>
              </fill>
            </x14:dxf>
          </x14:cfRule>
          <xm:sqref>G14</xm:sqref>
        </x14:conditionalFormatting>
        <x14:conditionalFormatting xmlns:xm="http://schemas.microsoft.com/office/excel/2006/main">
          <x14:cfRule type="cellIs" priority="129" stopIfTrue="1" operator="greaterThan" id="{3ED97127-73C6-4C84-8D87-270443CEE9D5}">
            <xm:f>(1+Projekteinstellungen!$B$9)*35*Projekteinstellungen!$B$21</xm:f>
            <x14:dxf>
              <font>
                <color rgb="FF000000"/>
              </font>
              <fill>
                <patternFill>
                  <bgColor rgb="FFF55F5F"/>
                </patternFill>
              </fill>
            </x14:dxf>
          </x14:cfRule>
          <xm:sqref>H14</xm:sqref>
        </x14:conditionalFormatting>
        <x14:conditionalFormatting xmlns:xm="http://schemas.microsoft.com/office/excel/2006/main">
          <x14:cfRule type="cellIs" priority="130" stopIfTrue="1" operator="greaterThan" id="{25C8DD32-2F11-4682-BCDB-023F629803F0}">
            <xm:f>(1+Projekteinstellungen!$B$9)*35*Projekteinstellungen!$B$21</xm:f>
            <x14:dxf>
              <font>
                <color rgb="FF000000"/>
              </font>
              <fill>
                <patternFill>
                  <bgColor rgb="FFF55F5F"/>
                </patternFill>
              </fill>
            </x14:dxf>
          </x14:cfRule>
          <xm:sqref>I14</xm:sqref>
        </x14:conditionalFormatting>
        <x14:conditionalFormatting xmlns:xm="http://schemas.microsoft.com/office/excel/2006/main">
          <x14:cfRule type="cellIs" priority="131" stopIfTrue="1" operator="greaterThan" id="{2E9A0C58-F98D-4A10-8167-D381B394F325}">
            <xm:f>(1+Projekteinstellungen!$B$9)*35*Projekteinstellungen!$B$21</xm:f>
            <x14:dxf>
              <font>
                <color rgb="FF000000"/>
              </font>
              <fill>
                <patternFill>
                  <bgColor rgb="FFF55F5F"/>
                </patternFill>
              </fill>
            </x14:dxf>
          </x14:cfRule>
          <xm:sqref>J14</xm:sqref>
        </x14:conditionalFormatting>
        <x14:conditionalFormatting xmlns:xm="http://schemas.microsoft.com/office/excel/2006/main">
          <x14:cfRule type="cellIs" priority="132" stopIfTrue="1" operator="greaterThan" id="{8332C36C-39DE-4C29-8CB4-5425D94A44A1}">
            <xm:f>(1+Projekteinstellungen!$B$9)*35*Projekteinstellungen!$B$21</xm:f>
            <x14:dxf>
              <font>
                <color rgb="FF000000"/>
              </font>
              <fill>
                <patternFill>
                  <bgColor rgb="FFF55F5F"/>
                </patternFill>
              </fill>
            </x14:dxf>
          </x14:cfRule>
          <xm:sqref>K14</xm:sqref>
        </x14:conditionalFormatting>
        <x14:conditionalFormatting xmlns:xm="http://schemas.microsoft.com/office/excel/2006/main">
          <x14:cfRule type="cellIs" priority="133" stopIfTrue="1" operator="greaterThan" id="{024F8EF9-A694-48EB-A8F8-AE13AD8E6535}">
            <xm:f>(1+Projekteinstellungen!$B$9)*35*Projekteinstellungen!$B$21</xm:f>
            <x14:dxf>
              <font>
                <color rgb="FF000000"/>
              </font>
              <fill>
                <patternFill>
                  <bgColor rgb="FFF55F5F"/>
                </patternFill>
              </fill>
            </x14:dxf>
          </x14:cfRule>
          <xm:sqref>L14</xm:sqref>
        </x14:conditionalFormatting>
        <x14:conditionalFormatting xmlns:xm="http://schemas.microsoft.com/office/excel/2006/main">
          <x14:cfRule type="cellIs" priority="134" stopIfTrue="1" operator="greaterThan" id="{D9C309AA-3475-47C4-A7F8-778B1A08DA4B}">
            <xm:f>(1+Projekteinstellungen!$B$9)*35*Projekteinstellungen!$B$21</xm:f>
            <x14:dxf>
              <font>
                <color rgb="FF000000"/>
              </font>
              <fill>
                <patternFill>
                  <bgColor rgb="FFF55F5F"/>
                </patternFill>
              </fill>
            </x14:dxf>
          </x14:cfRule>
          <xm:sqref>P14</xm:sqref>
        </x14:conditionalFormatting>
        <x14:conditionalFormatting xmlns:xm="http://schemas.microsoft.com/office/excel/2006/main">
          <x14:cfRule type="cellIs" priority="135" stopIfTrue="1" operator="greaterThan" id="{91161443-19FD-441C-89CB-6D5CEFDB62C3}">
            <xm:f>(1+Projekteinstellungen!$B$9)*35*Projekteinstellungen!$B$21</xm:f>
            <x14:dxf>
              <font>
                <color rgb="FF000000"/>
              </font>
              <fill>
                <patternFill>
                  <bgColor rgb="FFF55F5F"/>
                </patternFill>
              </fill>
            </x14:dxf>
          </x14:cfRule>
          <xm:sqref>R14</xm:sqref>
        </x14:conditionalFormatting>
        <x14:conditionalFormatting xmlns:xm="http://schemas.microsoft.com/office/excel/2006/main">
          <x14:cfRule type="cellIs" priority="136" stopIfTrue="1" operator="greaterThan" id="{912FFC29-E21C-44D9-97D9-6EB94D314378}">
            <xm:f>(1+Projekteinstellungen!$B$9)*35*Projekteinstellungen!$B$21</xm:f>
            <x14:dxf>
              <font>
                <color rgb="FF000000"/>
              </font>
              <fill>
                <patternFill>
                  <bgColor rgb="FFF55F5F"/>
                </patternFill>
              </fill>
            </x14:dxf>
          </x14:cfRule>
          <xm:sqref>S14</xm:sqref>
        </x14:conditionalFormatting>
        <x14:conditionalFormatting xmlns:xm="http://schemas.microsoft.com/office/excel/2006/main">
          <x14:cfRule type="cellIs" priority="137" stopIfTrue="1" operator="greaterThan" id="{753E1E1B-606D-4BD5-A43B-7ACFAF35BE87}">
            <xm:f>(1+Projekteinstellungen!$B$9)*40*Projekteinstellungen!$B$21</xm:f>
            <x14:dxf>
              <font>
                <color rgb="FF000000"/>
              </font>
              <fill>
                <patternFill>
                  <bgColor rgb="FFF55F5F"/>
                </patternFill>
              </fill>
            </x14:dxf>
          </x14:cfRule>
          <xm:sqref>F13</xm:sqref>
        </x14:conditionalFormatting>
        <x14:conditionalFormatting xmlns:xm="http://schemas.microsoft.com/office/excel/2006/main">
          <x14:cfRule type="cellIs" priority="138" stopIfTrue="1" operator="greaterThan" id="{7A523915-F5E6-4E0A-9DDB-BC8C5B238628}">
            <xm:f>(1+Projekteinstellungen!$B$9)*40*Projekteinstellungen!$B$21</xm:f>
            <x14:dxf>
              <font>
                <color rgb="FF000000"/>
              </font>
              <fill>
                <patternFill>
                  <bgColor rgb="FFF55F5F"/>
                </patternFill>
              </fill>
            </x14:dxf>
          </x14:cfRule>
          <xm:sqref>G13</xm:sqref>
        </x14:conditionalFormatting>
        <x14:conditionalFormatting xmlns:xm="http://schemas.microsoft.com/office/excel/2006/main">
          <x14:cfRule type="cellIs" priority="139" stopIfTrue="1" operator="greaterThan" id="{96B380B0-FFAE-4B94-8E33-6417225BC5C0}">
            <xm:f>(1+Projekteinstellungen!$B$9)*40*Projekteinstellungen!$B$21</xm:f>
            <x14:dxf>
              <font>
                <color rgb="FF000000"/>
              </font>
              <fill>
                <patternFill>
                  <bgColor rgb="FFF55F5F"/>
                </patternFill>
              </fill>
            </x14:dxf>
          </x14:cfRule>
          <xm:sqref>H13</xm:sqref>
        </x14:conditionalFormatting>
        <x14:conditionalFormatting xmlns:xm="http://schemas.microsoft.com/office/excel/2006/main">
          <x14:cfRule type="cellIs" priority="140" stopIfTrue="1" operator="greaterThan" id="{E4FB732C-E1CD-4628-A59E-863EE0165F41}">
            <xm:f>(1+Projekteinstellungen!$B$9)*40*Projekteinstellungen!$B$21</xm:f>
            <x14:dxf>
              <font>
                <color rgb="FF000000"/>
              </font>
              <fill>
                <patternFill>
                  <bgColor rgb="FFF55F5F"/>
                </patternFill>
              </fill>
            </x14:dxf>
          </x14:cfRule>
          <xm:sqref>I13</xm:sqref>
        </x14:conditionalFormatting>
        <x14:conditionalFormatting xmlns:xm="http://schemas.microsoft.com/office/excel/2006/main">
          <x14:cfRule type="cellIs" priority="141" stopIfTrue="1" operator="greaterThan" id="{6DBA3254-98F4-46C4-B62D-906D636EA59E}">
            <xm:f>(1+Projekteinstellungen!$B$9)*40*Projekteinstellungen!$B$21</xm:f>
            <x14:dxf>
              <font>
                <color rgb="FF000000"/>
              </font>
              <fill>
                <patternFill>
                  <bgColor rgb="FFF55F5F"/>
                </patternFill>
              </fill>
            </x14:dxf>
          </x14:cfRule>
          <xm:sqref>K13</xm:sqref>
        </x14:conditionalFormatting>
        <x14:conditionalFormatting xmlns:xm="http://schemas.microsoft.com/office/excel/2006/main">
          <x14:cfRule type="cellIs" priority="142" stopIfTrue="1" operator="greaterThan" id="{2B7AF2DC-9B2D-40B6-BBF8-286D5FA91AB6}">
            <xm:f>(1+Projekteinstellungen!$B$9)*40*Projekteinstellungen!$B$21</xm:f>
            <x14:dxf>
              <font>
                <color rgb="FF000000"/>
              </font>
              <fill>
                <patternFill>
                  <bgColor rgb="FFF55F5F"/>
                </patternFill>
              </fill>
            </x14:dxf>
          </x14:cfRule>
          <xm:sqref>L13</xm:sqref>
        </x14:conditionalFormatting>
        <x14:conditionalFormatting xmlns:xm="http://schemas.microsoft.com/office/excel/2006/main">
          <x14:cfRule type="cellIs" priority="143" stopIfTrue="1" operator="greaterThan" id="{0BC47175-2875-4223-AB63-3FE0C5677533}">
            <xm:f>(1+Projekteinstellungen!$B$9)*40*Projekteinstellungen!$B$21</xm:f>
            <x14:dxf>
              <font>
                <color rgb="FF000000"/>
              </font>
              <fill>
                <patternFill>
                  <bgColor rgb="FFF55F5F"/>
                </patternFill>
              </fill>
            </x14:dxf>
          </x14:cfRule>
          <xm:sqref>M13</xm:sqref>
        </x14:conditionalFormatting>
        <x14:conditionalFormatting xmlns:xm="http://schemas.microsoft.com/office/excel/2006/main">
          <x14:cfRule type="cellIs" priority="144" stopIfTrue="1" operator="greaterThan" id="{3E0978A6-98BE-46AC-8C34-00A5AD5B66EF}">
            <xm:f>(1+Projekteinstellungen!$B$9)*40*Projekteinstellungen!$B$21</xm:f>
            <x14:dxf>
              <font>
                <color rgb="FF000000"/>
              </font>
              <fill>
                <patternFill>
                  <bgColor rgb="FFF55F5F"/>
                </patternFill>
              </fill>
            </x14:dxf>
          </x14:cfRule>
          <xm:sqref>N13</xm:sqref>
        </x14:conditionalFormatting>
        <x14:conditionalFormatting xmlns:xm="http://schemas.microsoft.com/office/excel/2006/main">
          <x14:cfRule type="cellIs" priority="145" stopIfTrue="1" operator="greaterThan" id="{AF3CD80F-E194-4B7C-B53C-56261EB62D24}">
            <xm:f>(1+Projekteinstellungen!$B$9)*40*Projekteinstellungen!$B$21</xm:f>
            <x14:dxf>
              <font>
                <color rgb="FF000000"/>
              </font>
              <fill>
                <patternFill>
                  <bgColor rgb="FFF55F5F"/>
                </patternFill>
              </fill>
            </x14:dxf>
          </x14:cfRule>
          <xm:sqref>O13</xm:sqref>
        </x14:conditionalFormatting>
        <x14:conditionalFormatting xmlns:xm="http://schemas.microsoft.com/office/excel/2006/main">
          <x14:cfRule type="cellIs" priority="146" stopIfTrue="1" operator="greaterThan" id="{CFA899A8-B27D-4D9D-AA46-DAD80DC9A9DB}">
            <xm:f>(1+Projekteinstellungen!$B$9)*40*Projekteinstellungen!$B$21</xm:f>
            <x14:dxf>
              <font>
                <color rgb="FF000000"/>
              </font>
              <fill>
                <patternFill>
                  <bgColor rgb="FFF55F5F"/>
                </patternFill>
              </fill>
            </x14:dxf>
          </x14:cfRule>
          <xm:sqref>P13</xm:sqref>
        </x14:conditionalFormatting>
        <x14:conditionalFormatting xmlns:xm="http://schemas.microsoft.com/office/excel/2006/main">
          <x14:cfRule type="cellIs" priority="147" stopIfTrue="1" operator="greaterThan" id="{B08F714D-798B-4AAA-A456-94D2EBC3F785}">
            <xm:f>(1+Projekteinstellungen!$B$9)*40*Projekteinstellungen!$B$21</xm:f>
            <x14:dxf>
              <font>
                <color rgb="FF000000"/>
              </font>
              <fill>
                <patternFill>
                  <bgColor rgb="FFF55F5F"/>
                </patternFill>
              </fill>
            </x14:dxf>
          </x14:cfRule>
          <xm:sqref>Q13</xm:sqref>
        </x14:conditionalFormatting>
        <x14:conditionalFormatting xmlns:xm="http://schemas.microsoft.com/office/excel/2006/main">
          <x14:cfRule type="cellIs" priority="148" stopIfTrue="1" operator="greaterThan" id="{D05B9C3D-6CF7-4520-9C16-37491586E58C}">
            <xm:f>(1+Projekteinstellungen!$B$9)*40*Projekteinstellungen!$B$21</xm:f>
            <x14:dxf>
              <font>
                <color rgb="FF000000"/>
              </font>
              <fill>
                <patternFill>
                  <bgColor rgb="FFF55F5F"/>
                </patternFill>
              </fill>
            </x14:dxf>
          </x14:cfRule>
          <xm:sqref>R13</xm:sqref>
        </x14:conditionalFormatting>
        <x14:conditionalFormatting xmlns:xm="http://schemas.microsoft.com/office/excel/2006/main">
          <x14:cfRule type="cellIs" priority="159" stopIfTrue="1" operator="greaterThan" id="{35CD5CB1-6F0D-4DC1-AE48-0E53D741190A}">
            <xm:f>(1+Projekteinstellungen!$B$9)*40*Projekteinstellungen!$B$21</xm:f>
            <x14:dxf>
              <font>
                <color rgb="FF000000"/>
              </font>
              <fill>
                <patternFill>
                  <bgColor rgb="FFF55F5F"/>
                </patternFill>
              </fill>
            </x14:dxf>
          </x14:cfRule>
          <xm:sqref>I7</xm:sqref>
        </x14:conditionalFormatting>
        <x14:conditionalFormatting xmlns:xm="http://schemas.microsoft.com/office/excel/2006/main">
          <x14:cfRule type="cellIs" priority="160" stopIfTrue="1" operator="greaterThan" id="{44083753-18B2-4EEC-B29A-8D9E6953B168}">
            <xm:f>(1+Projekteinstellungen!$B$9)*40*Projekteinstellungen!$B$21</xm:f>
            <x14:dxf>
              <font>
                <color rgb="FF000000"/>
              </font>
              <fill>
                <patternFill>
                  <bgColor rgb="FFF55F5F"/>
                </patternFill>
              </fill>
            </x14:dxf>
          </x14:cfRule>
          <xm:sqref>J7</xm:sqref>
        </x14:conditionalFormatting>
        <x14:conditionalFormatting xmlns:xm="http://schemas.microsoft.com/office/excel/2006/main">
          <x14:cfRule type="cellIs" priority="161" stopIfTrue="1" operator="greaterThan" id="{B9AC4DF0-394B-4D94-81BF-7E8014836359}">
            <xm:f>(1+Projekteinstellungen!$B$9)*40*Projekteinstellungen!$B$21</xm:f>
            <x14:dxf>
              <font>
                <color rgb="FF000000"/>
              </font>
              <fill>
                <patternFill>
                  <bgColor rgb="FFF55F5F"/>
                </patternFill>
              </fill>
            </x14:dxf>
          </x14:cfRule>
          <xm:sqref>K7</xm:sqref>
        </x14:conditionalFormatting>
        <x14:conditionalFormatting xmlns:xm="http://schemas.microsoft.com/office/excel/2006/main">
          <x14:cfRule type="cellIs" priority="162" stopIfTrue="1" operator="greaterThan" id="{583EF37D-8F44-4C41-A91A-2A7A1D79D127}">
            <xm:f>(1+Projekteinstellungen!$B$9)*40*Projekteinstellungen!$B$21</xm:f>
            <x14:dxf>
              <font>
                <color rgb="FF000000"/>
              </font>
              <fill>
                <patternFill>
                  <bgColor rgb="FFF55F5F"/>
                </patternFill>
              </fill>
            </x14:dxf>
          </x14:cfRule>
          <xm:sqref>L7</xm:sqref>
        </x14:conditionalFormatting>
        <x14:conditionalFormatting xmlns:xm="http://schemas.microsoft.com/office/excel/2006/main">
          <x14:cfRule type="cellIs" priority="163" stopIfTrue="1" operator="greaterThan" id="{D1C07006-384C-431B-AFC8-464849DF760B}">
            <xm:f>(1+Projekteinstellungen!$B$9)*40*Projekteinstellungen!$B$21</xm:f>
            <x14:dxf>
              <font>
                <color rgb="FF000000"/>
              </font>
              <fill>
                <patternFill>
                  <bgColor rgb="FFF55F5F"/>
                </patternFill>
              </fill>
            </x14:dxf>
          </x14:cfRule>
          <xm:sqref>O7</xm:sqref>
        </x14:conditionalFormatting>
        <x14:conditionalFormatting xmlns:xm="http://schemas.microsoft.com/office/excel/2006/main">
          <x14:cfRule type="cellIs" priority="164" stopIfTrue="1" operator="greaterThan" id="{1A65BA3A-2BA3-44BD-AACC-0F4ADA96671C}">
            <xm:f>(1+Projekteinstellungen!$B$9)*40*Projekteinstellungen!$B$21</xm:f>
            <x14:dxf>
              <font>
                <color rgb="FF000000"/>
              </font>
              <fill>
                <patternFill>
                  <bgColor rgb="FFF55F5F"/>
                </patternFill>
              </fill>
            </x14:dxf>
          </x14:cfRule>
          <xm:sqref>Q7</xm:sqref>
        </x14:conditionalFormatting>
        <x14:conditionalFormatting xmlns:xm="http://schemas.microsoft.com/office/excel/2006/main">
          <x14:cfRule type="cellIs" priority="165" stopIfTrue="1" operator="greaterThan" id="{6F6BE980-4DB5-44E0-B680-48635953FDF9}">
            <xm:f>(1+Projekteinstellungen!$B$9)*40*Projekteinstellungen!$B$21</xm:f>
            <x14:dxf>
              <font>
                <color rgb="FF000000"/>
              </font>
              <fill>
                <patternFill>
                  <bgColor rgb="FFF55F5F"/>
                </patternFill>
              </fill>
            </x14:dxf>
          </x14:cfRule>
          <xm:sqref>S7</xm:sqref>
        </x14:conditionalFormatting>
        <x14:conditionalFormatting xmlns:xm="http://schemas.microsoft.com/office/excel/2006/main">
          <x14:cfRule type="cellIs" priority="166" stopIfTrue="1" operator="greaterThan" id="{8BBECA7C-B564-4504-A92A-A424E60AF5BD}">
            <xm:f>(1+Projekteinstellungen!$B$9)*40*Projekteinstellungen!$B$21</xm:f>
            <x14:dxf>
              <font>
                <color rgb="FF000000"/>
              </font>
              <fill>
                <patternFill>
                  <bgColor rgb="FFF55F5F"/>
                </patternFill>
              </fill>
            </x14:dxf>
          </x14:cfRule>
          <xm:sqref>F11</xm:sqref>
        </x14:conditionalFormatting>
        <x14:conditionalFormatting xmlns:xm="http://schemas.microsoft.com/office/excel/2006/main">
          <x14:cfRule type="cellIs" priority="167" stopIfTrue="1" operator="greaterThan" id="{6D2F5581-305F-49D1-AA7B-56B7621A1FA6}">
            <xm:f>(1+Projekteinstellungen!$B$9)*40*Projekteinstellungen!$B$21</xm:f>
            <x14:dxf>
              <font>
                <color rgb="FF000000"/>
              </font>
              <fill>
                <patternFill>
                  <bgColor rgb="FFF55F5F"/>
                </patternFill>
              </fill>
            </x14:dxf>
          </x14:cfRule>
          <xm:sqref>G11</xm:sqref>
        </x14:conditionalFormatting>
        <x14:conditionalFormatting xmlns:xm="http://schemas.microsoft.com/office/excel/2006/main">
          <x14:cfRule type="cellIs" priority="168" stopIfTrue="1" operator="greaterThan" id="{D487F368-1F7D-4CA8-8218-98055DF2BCE2}">
            <xm:f>(1+Projekteinstellungen!$B$9)*40*Projekteinstellungen!$B$21</xm:f>
            <x14:dxf>
              <font>
                <color rgb="FF000000"/>
              </font>
              <fill>
                <patternFill>
                  <bgColor rgb="FFF55F5F"/>
                </patternFill>
              </fill>
            </x14:dxf>
          </x14:cfRule>
          <xm:sqref>H11</xm:sqref>
        </x14:conditionalFormatting>
        <x14:conditionalFormatting xmlns:xm="http://schemas.microsoft.com/office/excel/2006/main">
          <x14:cfRule type="cellIs" priority="169" stopIfTrue="1" operator="greaterThan" id="{2A100EA5-EEC0-4459-A306-7B123C7FB73E}">
            <xm:f>(1+Projekteinstellungen!$B$9)*40*Projekteinstellungen!$B$21</xm:f>
            <x14:dxf>
              <font>
                <color rgb="FF000000"/>
              </font>
              <fill>
                <patternFill>
                  <bgColor rgb="FFF55F5F"/>
                </patternFill>
              </fill>
            </x14:dxf>
          </x14:cfRule>
          <xm:sqref>I11</xm:sqref>
        </x14:conditionalFormatting>
        <x14:conditionalFormatting xmlns:xm="http://schemas.microsoft.com/office/excel/2006/main">
          <x14:cfRule type="cellIs" priority="170" stopIfTrue="1" operator="greaterThan" id="{9D4D5C68-6E45-4A7C-A44E-B7235B5FF8A7}">
            <xm:f>(1+Projekteinstellungen!$B$9)*40*Projekteinstellungen!$B$21</xm:f>
            <x14:dxf>
              <font>
                <color rgb="FF000000"/>
              </font>
              <fill>
                <patternFill>
                  <bgColor rgb="FFF55F5F"/>
                </patternFill>
              </fill>
            </x14:dxf>
          </x14:cfRule>
          <xm:sqref>L11</xm:sqref>
        </x14:conditionalFormatting>
        <x14:conditionalFormatting xmlns:xm="http://schemas.microsoft.com/office/excel/2006/main">
          <x14:cfRule type="cellIs" priority="171" stopIfTrue="1" operator="greaterThan" id="{CABB9A56-AECE-4658-A9A6-5987586BA5C2}">
            <xm:f>(1+Projekteinstellungen!$B$9)*40*Projekteinstellungen!$B$21</xm:f>
            <x14:dxf>
              <font>
                <color rgb="FF000000"/>
              </font>
              <fill>
                <patternFill>
                  <bgColor rgb="FFF55F5F"/>
                </patternFill>
              </fill>
            </x14:dxf>
          </x14:cfRule>
          <xm:sqref>M11</xm:sqref>
        </x14:conditionalFormatting>
        <x14:conditionalFormatting xmlns:xm="http://schemas.microsoft.com/office/excel/2006/main">
          <x14:cfRule type="cellIs" priority="172" stopIfTrue="1" operator="greaterThan" id="{37D897B2-275C-454F-8AF2-45687C4F9D2E}">
            <xm:f>(1+Projekteinstellungen!$B$9)*40*Projekteinstellungen!$B$21</xm:f>
            <x14:dxf>
              <font>
                <color rgb="FF000000"/>
              </font>
              <fill>
                <patternFill>
                  <bgColor rgb="FFF55F5F"/>
                </patternFill>
              </fill>
            </x14:dxf>
          </x14:cfRule>
          <xm:sqref>N11</xm:sqref>
        </x14:conditionalFormatting>
        <x14:conditionalFormatting xmlns:xm="http://schemas.microsoft.com/office/excel/2006/main">
          <x14:cfRule type="cellIs" priority="173" stopIfTrue="1" operator="greaterThan" id="{0B91822C-7F3C-4117-A20A-E2CA146448B8}">
            <xm:f>(1+Projekteinstellungen!$B$9)*40*Projekteinstellungen!$B$21</xm:f>
            <x14:dxf>
              <font>
                <color rgb="FF000000"/>
              </font>
              <fill>
                <patternFill>
                  <bgColor rgb="FFF55F5F"/>
                </patternFill>
              </fill>
            </x14:dxf>
          </x14:cfRule>
          <xm:sqref>O11</xm:sqref>
        </x14:conditionalFormatting>
        <x14:conditionalFormatting xmlns:xm="http://schemas.microsoft.com/office/excel/2006/main">
          <x14:cfRule type="cellIs" priority="174" stopIfTrue="1" operator="greaterThan" id="{180F4076-6EBA-4AE0-9D9F-571E28D9622C}">
            <xm:f>(1+Projekteinstellungen!$B$9)*40*Projekteinstellungen!$B$21</xm:f>
            <x14:dxf>
              <font>
                <color rgb="FF000000"/>
              </font>
              <fill>
                <patternFill>
                  <bgColor rgb="FFF55F5F"/>
                </patternFill>
              </fill>
            </x14:dxf>
          </x14:cfRule>
          <xm:sqref>P11</xm:sqref>
        </x14:conditionalFormatting>
        <x14:conditionalFormatting xmlns:xm="http://schemas.microsoft.com/office/excel/2006/main">
          <x14:cfRule type="cellIs" priority="175" stopIfTrue="1" operator="greaterThan" id="{97B2503C-C558-4665-87F8-890F3D274F27}">
            <xm:f>(1+Projekteinstellungen!$B$9)*40*Projekteinstellungen!$B$21</xm:f>
            <x14:dxf>
              <font>
                <color rgb="FF000000"/>
              </font>
              <fill>
                <patternFill>
                  <bgColor rgb="FFF55F5F"/>
                </patternFill>
              </fill>
            </x14:dxf>
          </x14:cfRule>
          <xm:sqref>Q11</xm:sqref>
        </x14:conditionalFormatting>
        <x14:conditionalFormatting xmlns:xm="http://schemas.microsoft.com/office/excel/2006/main">
          <x14:cfRule type="cellIs" priority="176" stopIfTrue="1" operator="greaterThan" id="{E5A4A03C-D962-4BEC-8961-9BD5AD2E6A15}">
            <xm:f>(1+Projekteinstellungen!$B$9)*40*Projekteinstellungen!$B$21</xm:f>
            <x14:dxf>
              <font>
                <color rgb="FF000000"/>
              </font>
              <fill>
                <patternFill>
                  <bgColor rgb="FFF55F5F"/>
                </patternFill>
              </fill>
            </x14:dxf>
          </x14:cfRule>
          <xm:sqref>R11</xm:sqref>
        </x14:conditionalFormatting>
        <x14:conditionalFormatting xmlns:xm="http://schemas.microsoft.com/office/excel/2006/main">
          <x14:cfRule type="cellIs" priority="183" stopIfTrue="1" operator="greaterThan" id="{A7BCD3C1-9CAF-438F-8305-C571684C1200}">
            <xm:f>(1+Projekteinstellungen!$B$9)*40*Projekteinstellungen!$B$21</xm:f>
            <x14:dxf>
              <font>
                <color rgb="FF000000"/>
              </font>
              <fill>
                <patternFill>
                  <bgColor rgb="FFF55F5F"/>
                </patternFill>
              </fill>
            </x14:dxf>
          </x14:cfRule>
          <xm:sqref>E10</xm:sqref>
        </x14:conditionalFormatting>
        <x14:conditionalFormatting xmlns:xm="http://schemas.microsoft.com/office/excel/2006/main">
          <x14:cfRule type="cellIs" priority="184" stopIfTrue="1" operator="greaterThan" id="{923E3F69-DCED-4086-B675-097EB664D78B}">
            <xm:f>(1+Projekteinstellungen!$B$9)*40*Projekteinstellungen!$B$21</xm:f>
            <x14:dxf>
              <font>
                <color rgb="FF000000"/>
              </font>
              <fill>
                <patternFill>
                  <bgColor rgb="FFF55F5F"/>
                </patternFill>
              </fill>
            </x14:dxf>
          </x14:cfRule>
          <xm:sqref>F10</xm:sqref>
        </x14:conditionalFormatting>
        <x14:conditionalFormatting xmlns:xm="http://schemas.microsoft.com/office/excel/2006/main">
          <x14:cfRule type="cellIs" priority="185" stopIfTrue="1" operator="greaterThan" id="{C35A461A-54D5-4E8A-AC18-48F09E1E08E9}">
            <xm:f>(1+Projekteinstellungen!$B$9)*40*Projekteinstellungen!$B$21</xm:f>
            <x14:dxf>
              <font>
                <color rgb="FF000000"/>
              </font>
              <fill>
                <patternFill>
                  <bgColor rgb="FFF55F5F"/>
                </patternFill>
              </fill>
            </x14:dxf>
          </x14:cfRule>
          <xm:sqref>G10</xm:sqref>
        </x14:conditionalFormatting>
        <x14:conditionalFormatting xmlns:xm="http://schemas.microsoft.com/office/excel/2006/main">
          <x14:cfRule type="cellIs" priority="186" stopIfTrue="1" operator="greaterThan" id="{BA3DDDD3-5855-490C-9924-44369C77852D}">
            <xm:f>(1+Projekteinstellungen!$B$9)*40*Projekteinstellungen!$B$21</xm:f>
            <x14:dxf>
              <font>
                <color rgb="FF000000"/>
              </font>
              <fill>
                <patternFill>
                  <bgColor rgb="FFF55F5F"/>
                </patternFill>
              </fill>
            </x14:dxf>
          </x14:cfRule>
          <xm:sqref>J10</xm:sqref>
        </x14:conditionalFormatting>
        <x14:conditionalFormatting xmlns:xm="http://schemas.microsoft.com/office/excel/2006/main">
          <x14:cfRule type="cellIs" priority="187" stopIfTrue="1" operator="greaterThan" id="{D135C4D8-4FF2-4B38-A1FE-CB458AF9522C}">
            <xm:f>(1+Projekteinstellungen!$B$9)*40*Projekteinstellungen!$B$21</xm:f>
            <x14:dxf>
              <font>
                <color rgb="FF000000"/>
              </font>
              <fill>
                <patternFill>
                  <bgColor rgb="FFF55F5F"/>
                </patternFill>
              </fill>
            </x14:dxf>
          </x14:cfRule>
          <xm:sqref>K10</xm:sqref>
        </x14:conditionalFormatting>
        <x14:conditionalFormatting xmlns:xm="http://schemas.microsoft.com/office/excel/2006/main">
          <x14:cfRule type="cellIs" priority="188" stopIfTrue="1" operator="greaterThan" id="{54F64C88-D1A6-41A7-A9E1-C667807CA59D}">
            <xm:f>(1+Projekteinstellungen!$B$9)*40*Projekteinstellungen!$B$21</xm:f>
            <x14:dxf>
              <font>
                <color rgb="FF000000"/>
              </font>
              <fill>
                <patternFill>
                  <bgColor rgb="FFF55F5F"/>
                </patternFill>
              </fill>
            </x14:dxf>
          </x14:cfRule>
          <xm:sqref>L10</xm:sqref>
        </x14:conditionalFormatting>
        <x14:conditionalFormatting xmlns:xm="http://schemas.microsoft.com/office/excel/2006/main">
          <x14:cfRule type="cellIs" priority="189" stopIfTrue="1" operator="greaterThan" id="{4BFA9F95-464D-431C-8AA5-7024A068E7AA}">
            <xm:f>(1+Projekteinstellungen!$B$9)*40*Projekteinstellungen!$B$21</xm:f>
            <x14:dxf>
              <font>
                <color rgb="FF000000"/>
              </font>
              <fill>
                <patternFill>
                  <bgColor rgb="FFF55F5F"/>
                </patternFill>
              </fill>
            </x14:dxf>
          </x14:cfRule>
          <xm:sqref>M10</xm:sqref>
        </x14:conditionalFormatting>
        <x14:conditionalFormatting xmlns:xm="http://schemas.microsoft.com/office/excel/2006/main">
          <x14:cfRule type="cellIs" priority="190" stopIfTrue="1" operator="greaterThan" id="{B748BCEC-ADDE-4E11-BCE1-8E1BEBDA3069}">
            <xm:f>(1+Projekteinstellungen!$B$9)*40*Projekteinstellungen!$B$21</xm:f>
            <x14:dxf>
              <font>
                <color rgb="FF000000"/>
              </font>
              <fill>
                <patternFill>
                  <bgColor rgb="FFF55F5F"/>
                </patternFill>
              </fill>
            </x14:dxf>
          </x14:cfRule>
          <xm:sqref>N10</xm:sqref>
        </x14:conditionalFormatting>
        <x14:conditionalFormatting xmlns:xm="http://schemas.microsoft.com/office/excel/2006/main">
          <x14:cfRule type="cellIs" priority="191" stopIfTrue="1" operator="greaterThan" id="{4CBF8C0D-A396-4821-8AEB-086DFEFB0AC8}">
            <xm:f>(1+Projekteinstellungen!$B$9)*40*Projekteinstellungen!$B$21</xm:f>
            <x14:dxf>
              <font>
                <color rgb="FF000000"/>
              </font>
              <fill>
                <patternFill>
                  <bgColor rgb="FFF55F5F"/>
                </patternFill>
              </fill>
            </x14:dxf>
          </x14:cfRule>
          <xm:sqref>O10</xm:sqref>
        </x14:conditionalFormatting>
        <x14:conditionalFormatting xmlns:xm="http://schemas.microsoft.com/office/excel/2006/main">
          <x14:cfRule type="cellIs" priority="192" stopIfTrue="1" operator="greaterThan" id="{609FAFA2-CFB5-49DA-8E63-535A28362F18}">
            <xm:f>(1+Projekteinstellungen!$B$9)*40*Projekteinstellungen!$B$21</xm:f>
            <x14:dxf>
              <font>
                <color rgb="FF000000"/>
              </font>
              <fill>
                <patternFill>
                  <bgColor rgb="FFF55F5F"/>
                </patternFill>
              </fill>
            </x14:dxf>
          </x14:cfRule>
          <xm:sqref>P10</xm:sqref>
        </x14:conditionalFormatting>
        <x14:conditionalFormatting xmlns:xm="http://schemas.microsoft.com/office/excel/2006/main">
          <x14:cfRule type="cellIs" priority="193" stopIfTrue="1" operator="greaterThan" id="{40935DF5-94DB-458D-A577-F49517F6ED8E}">
            <xm:f>(1+Projekteinstellungen!$B$9)*40*Projekteinstellungen!$B$21</xm:f>
            <x14:dxf>
              <font>
                <color rgb="FF000000"/>
              </font>
              <fill>
                <patternFill>
                  <bgColor rgb="FFF55F5F"/>
                </patternFill>
              </fill>
            </x14:dxf>
          </x14:cfRule>
          <xm:sqref>Q10</xm:sqref>
        </x14:conditionalFormatting>
        <x14:conditionalFormatting xmlns:xm="http://schemas.microsoft.com/office/excel/2006/main">
          <x14:cfRule type="cellIs" priority="194" stopIfTrue="1" operator="greaterThan" id="{84833309-40F4-4548-9279-C8588644EB93}">
            <xm:f>(1+Projekteinstellungen!$B$9)*40*Projekteinstellungen!$B$21</xm:f>
            <x14:dxf>
              <font>
                <color rgb="FF000000"/>
              </font>
              <fill>
                <patternFill>
                  <bgColor rgb="FFF55F5F"/>
                </patternFill>
              </fill>
            </x14:dxf>
          </x14:cfRule>
          <xm:sqref>R10</xm:sqref>
        </x14:conditionalFormatting>
        <x14:conditionalFormatting xmlns:xm="http://schemas.microsoft.com/office/excel/2006/main">
          <x14:cfRule type="cellIs" priority="201" stopIfTrue="1" operator="greaterThan" id="{A7060FFD-1858-4B01-BB2C-AA31C4B4053C}">
            <xm:f>(1+Projekteinstellungen!$B$9)*40*Projekteinstellungen!$B$21</xm:f>
            <x14:dxf>
              <font>
                <color rgb="FF000000"/>
              </font>
              <fill>
                <patternFill>
                  <bgColor rgb="FFF55F5F"/>
                </patternFill>
              </fill>
            </x14:dxf>
          </x14:cfRule>
          <xm:sqref>F9</xm:sqref>
        </x14:conditionalFormatting>
        <x14:conditionalFormatting xmlns:xm="http://schemas.microsoft.com/office/excel/2006/main">
          <x14:cfRule type="cellIs" priority="202" stopIfTrue="1" operator="greaterThan" id="{1CBC4901-94DF-4E76-A36A-AADBDFE0115E}">
            <xm:f>(1+Projekteinstellungen!$B$9)*40*Projekteinstellungen!$B$21</xm:f>
            <x14:dxf>
              <font>
                <color rgb="FF000000"/>
              </font>
              <fill>
                <patternFill>
                  <bgColor rgb="FFF55F5F"/>
                </patternFill>
              </fill>
            </x14:dxf>
          </x14:cfRule>
          <xm:sqref>G9</xm:sqref>
        </x14:conditionalFormatting>
        <x14:conditionalFormatting xmlns:xm="http://schemas.microsoft.com/office/excel/2006/main">
          <x14:cfRule type="cellIs" priority="203" stopIfTrue="1" operator="greaterThan" id="{B5E4433B-CC73-42F3-8768-29F8D08D9873}">
            <xm:f>(1+Projekteinstellungen!$B$9)*40*Projekteinstellungen!$B$21</xm:f>
            <x14:dxf>
              <font>
                <color rgb="FF000000"/>
              </font>
              <fill>
                <patternFill>
                  <bgColor rgb="FFF55F5F"/>
                </patternFill>
              </fill>
            </x14:dxf>
          </x14:cfRule>
          <xm:sqref>H9</xm:sqref>
        </x14:conditionalFormatting>
        <x14:conditionalFormatting xmlns:xm="http://schemas.microsoft.com/office/excel/2006/main">
          <x14:cfRule type="cellIs" priority="204" stopIfTrue="1" operator="greaterThan" id="{4D29113D-8E73-49A1-BA2E-617047372898}">
            <xm:f>(1+Projekteinstellungen!$B$9)*40*Projekteinstellungen!$B$21</xm:f>
            <x14:dxf>
              <font>
                <color rgb="FF000000"/>
              </font>
              <fill>
                <patternFill>
                  <bgColor rgb="FFF55F5F"/>
                </patternFill>
              </fill>
            </x14:dxf>
          </x14:cfRule>
          <xm:sqref>J9</xm:sqref>
        </x14:conditionalFormatting>
        <x14:conditionalFormatting xmlns:xm="http://schemas.microsoft.com/office/excel/2006/main">
          <x14:cfRule type="cellIs" priority="205" stopIfTrue="1" operator="greaterThan" id="{6867459C-E864-4A37-8FD3-CD890AECF756}">
            <xm:f>(1+Projekteinstellungen!$B$9)*40*Projekteinstellungen!$B$21</xm:f>
            <x14:dxf>
              <font>
                <color rgb="FF000000"/>
              </font>
              <fill>
                <patternFill>
                  <bgColor rgb="FFF55F5F"/>
                </patternFill>
              </fill>
            </x14:dxf>
          </x14:cfRule>
          <xm:sqref>K9</xm:sqref>
        </x14:conditionalFormatting>
        <x14:conditionalFormatting xmlns:xm="http://schemas.microsoft.com/office/excel/2006/main">
          <x14:cfRule type="cellIs" priority="206" stopIfTrue="1" operator="greaterThan" id="{0EC353B3-052E-448F-A477-0AE644F4EA5D}">
            <xm:f>(1+Projekteinstellungen!$B$9)*40*Projekteinstellungen!$B$21</xm:f>
            <x14:dxf>
              <font>
                <color rgb="FF000000"/>
              </font>
              <fill>
                <patternFill>
                  <bgColor rgb="FFF55F5F"/>
                </patternFill>
              </fill>
            </x14:dxf>
          </x14:cfRule>
          <xm:sqref>L9</xm:sqref>
        </x14:conditionalFormatting>
        <x14:conditionalFormatting xmlns:xm="http://schemas.microsoft.com/office/excel/2006/main">
          <x14:cfRule type="cellIs" priority="207" stopIfTrue="1" operator="greaterThan" id="{A70EE729-A371-41DF-B558-4E7814E8288F}">
            <xm:f>(1+Projekteinstellungen!$B$9)*40*Projekteinstellungen!$B$21</xm:f>
            <x14:dxf>
              <font>
                <color rgb="FF000000"/>
              </font>
              <fill>
                <patternFill>
                  <bgColor rgb="FFF55F5F"/>
                </patternFill>
              </fill>
            </x14:dxf>
          </x14:cfRule>
          <xm:sqref>M9</xm:sqref>
        </x14:conditionalFormatting>
        <x14:conditionalFormatting xmlns:xm="http://schemas.microsoft.com/office/excel/2006/main">
          <x14:cfRule type="cellIs" priority="208" stopIfTrue="1" operator="greaterThan" id="{12C0327A-EC3E-4B4A-88F2-717B77809E95}">
            <xm:f>(1+Projekteinstellungen!$B$9)*40*Projekteinstellungen!$B$21</xm:f>
            <x14:dxf>
              <font>
                <color rgb="FF000000"/>
              </font>
              <fill>
                <patternFill>
                  <bgColor rgb="FFF55F5F"/>
                </patternFill>
              </fill>
            </x14:dxf>
          </x14:cfRule>
          <xm:sqref>N9</xm:sqref>
        </x14:conditionalFormatting>
        <x14:conditionalFormatting xmlns:xm="http://schemas.microsoft.com/office/excel/2006/main">
          <x14:cfRule type="cellIs" priority="209" stopIfTrue="1" operator="greaterThan" id="{877CB030-8F42-4DAB-923B-117905013BEA}">
            <xm:f>(1+Projekteinstellungen!$B$9)*40*Projekteinstellungen!$B$21</xm:f>
            <x14:dxf>
              <font>
                <color rgb="FF000000"/>
              </font>
              <fill>
                <patternFill>
                  <bgColor rgb="FFF55F5F"/>
                </patternFill>
              </fill>
            </x14:dxf>
          </x14:cfRule>
          <xm:sqref>O9</xm:sqref>
        </x14:conditionalFormatting>
        <x14:conditionalFormatting xmlns:xm="http://schemas.microsoft.com/office/excel/2006/main">
          <x14:cfRule type="cellIs" priority="210" stopIfTrue="1" operator="greaterThan" id="{648F276E-B475-4CE3-9FC8-12EF72ACF9B8}">
            <xm:f>(1+Projekteinstellungen!$B$9)*40*Projekteinstellungen!$B$21</xm:f>
            <x14:dxf>
              <font>
                <color rgb="FF000000"/>
              </font>
              <fill>
                <patternFill>
                  <bgColor rgb="FFF55F5F"/>
                </patternFill>
              </fill>
            </x14:dxf>
          </x14:cfRule>
          <xm:sqref>P9</xm:sqref>
        </x14:conditionalFormatting>
        <x14:conditionalFormatting xmlns:xm="http://schemas.microsoft.com/office/excel/2006/main">
          <x14:cfRule type="cellIs" priority="211" stopIfTrue="1" operator="greaterThan" id="{49CD992F-0B82-4074-8346-4624028F98DD}">
            <xm:f>(1+Projekteinstellungen!$B$9)*40*Projekteinstellungen!$B$21</xm:f>
            <x14:dxf>
              <font>
                <color rgb="FF000000"/>
              </font>
              <fill>
                <patternFill>
                  <bgColor rgb="FFF55F5F"/>
                </patternFill>
              </fill>
            </x14:dxf>
          </x14:cfRule>
          <xm:sqref>Q9</xm:sqref>
        </x14:conditionalFormatting>
        <x14:conditionalFormatting xmlns:xm="http://schemas.microsoft.com/office/excel/2006/main">
          <x14:cfRule type="cellIs" priority="212" stopIfTrue="1" operator="greaterThan" id="{652CBFBF-560C-4080-B4C3-B0D634EE9E61}">
            <xm:f>(1+Projekteinstellungen!$B$9)*40*Projekteinstellungen!$B$21</xm:f>
            <x14:dxf>
              <font>
                <color rgb="FF000000"/>
              </font>
              <fill>
                <patternFill>
                  <bgColor rgb="FFF55F5F"/>
                </patternFill>
              </fill>
            </x14:dxf>
          </x14:cfRule>
          <xm:sqref>R9</xm:sqref>
        </x14:conditionalFormatting>
        <x14:conditionalFormatting xmlns:xm="http://schemas.microsoft.com/office/excel/2006/main">
          <x14:cfRule type="cellIs" priority="219" stopIfTrue="1" operator="greaterThan" id="{AEF36D8F-1223-42F6-B6CB-5E579A109708}">
            <xm:f>(1+Projekteinstellungen!$B$9)*40*Projekteinstellungen!$B$21</xm:f>
            <x14:dxf>
              <font>
                <color rgb="FF000000"/>
              </font>
              <fill>
                <patternFill>
                  <bgColor rgb="FFF55F5F"/>
                </patternFill>
              </fill>
            </x14:dxf>
          </x14:cfRule>
          <xm:sqref>F8</xm:sqref>
        </x14:conditionalFormatting>
        <x14:conditionalFormatting xmlns:xm="http://schemas.microsoft.com/office/excel/2006/main">
          <x14:cfRule type="cellIs" priority="220" stopIfTrue="1" operator="greaterThan" id="{393A268E-109B-4F48-8D21-1745533C3F64}">
            <xm:f>(1+Projekteinstellungen!$B$9)*40*Projekteinstellungen!$B$21</xm:f>
            <x14:dxf>
              <font>
                <color rgb="FF000000"/>
              </font>
              <fill>
                <patternFill>
                  <bgColor rgb="FFF55F5F"/>
                </patternFill>
              </fill>
            </x14:dxf>
          </x14:cfRule>
          <xm:sqref>G8</xm:sqref>
        </x14:conditionalFormatting>
        <x14:conditionalFormatting xmlns:xm="http://schemas.microsoft.com/office/excel/2006/main">
          <x14:cfRule type="cellIs" priority="221" stopIfTrue="1" operator="greaterThan" id="{C56B9353-0F0A-426D-8FCB-1D471C24AE3B}">
            <xm:f>(1+Projekteinstellungen!$B$9)*40*Projekteinstellungen!$B$21</xm:f>
            <x14:dxf>
              <font>
                <color rgb="FF000000"/>
              </font>
              <fill>
                <patternFill>
                  <bgColor rgb="FFF55F5F"/>
                </patternFill>
              </fill>
            </x14:dxf>
          </x14:cfRule>
          <xm:sqref>H8</xm:sqref>
        </x14:conditionalFormatting>
        <x14:conditionalFormatting xmlns:xm="http://schemas.microsoft.com/office/excel/2006/main">
          <x14:cfRule type="cellIs" priority="222" stopIfTrue="1" operator="greaterThan" id="{B71986DB-3A2A-49B4-B62B-78D8FF4FFE10}">
            <xm:f>(1+Projekteinstellungen!$B$9)*40*Projekteinstellungen!$B$21</xm:f>
            <x14:dxf>
              <font>
                <color rgb="FF000000"/>
              </font>
              <fill>
                <patternFill>
                  <bgColor rgb="FFF55F5F"/>
                </patternFill>
              </fill>
            </x14:dxf>
          </x14:cfRule>
          <xm:sqref>I8</xm:sqref>
        </x14:conditionalFormatting>
        <x14:conditionalFormatting xmlns:xm="http://schemas.microsoft.com/office/excel/2006/main">
          <x14:cfRule type="cellIs" priority="223" stopIfTrue="1" operator="greaterThan" id="{0F24A086-5285-4B96-BA75-A5B4A241E2CE}">
            <xm:f>(1+Projekteinstellungen!$B$9)*40*Projekteinstellungen!$B$21</xm:f>
            <x14:dxf>
              <font>
                <color rgb="FF000000"/>
              </font>
              <fill>
                <patternFill>
                  <bgColor rgb="FFF55F5F"/>
                </patternFill>
              </fill>
            </x14:dxf>
          </x14:cfRule>
          <xm:sqref>J8</xm:sqref>
        </x14:conditionalFormatting>
        <x14:conditionalFormatting xmlns:xm="http://schemas.microsoft.com/office/excel/2006/main">
          <x14:cfRule type="cellIs" priority="224" stopIfTrue="1" operator="greaterThan" id="{58BFFF59-F72C-4F8A-AD39-6D90B62640AF}">
            <xm:f>(1+Projekteinstellungen!$B$9)*40*Projekteinstellungen!$B$21</xm:f>
            <x14:dxf>
              <font>
                <color rgb="FF000000"/>
              </font>
              <fill>
                <patternFill>
                  <bgColor rgb="FFF55F5F"/>
                </patternFill>
              </fill>
            </x14:dxf>
          </x14:cfRule>
          <xm:sqref>K8</xm:sqref>
        </x14:conditionalFormatting>
        <x14:conditionalFormatting xmlns:xm="http://schemas.microsoft.com/office/excel/2006/main">
          <x14:cfRule type="cellIs" priority="225" stopIfTrue="1" operator="greaterThan" id="{31771271-7A91-4697-86A1-5E2B6A763999}">
            <xm:f>(1+Projekteinstellungen!$B$9)*40*Projekteinstellungen!$B$21</xm:f>
            <x14:dxf>
              <font>
                <color rgb="FF000000"/>
              </font>
              <fill>
                <patternFill>
                  <bgColor rgb="FFF55F5F"/>
                </patternFill>
              </fill>
            </x14:dxf>
          </x14:cfRule>
          <xm:sqref>L8</xm:sqref>
        </x14:conditionalFormatting>
        <x14:conditionalFormatting xmlns:xm="http://schemas.microsoft.com/office/excel/2006/main">
          <x14:cfRule type="cellIs" priority="226" stopIfTrue="1" operator="greaterThan" id="{06EA5080-6F38-428D-A45C-964261017F91}">
            <xm:f>(1+Projekteinstellungen!$B$9)*40*Projekteinstellungen!$B$21</xm:f>
            <x14:dxf>
              <font>
                <color rgb="FF000000"/>
              </font>
              <fill>
                <patternFill>
                  <bgColor rgb="FFF55F5F"/>
                </patternFill>
              </fill>
            </x14:dxf>
          </x14:cfRule>
          <xm:sqref>M8</xm:sqref>
        </x14:conditionalFormatting>
        <x14:conditionalFormatting xmlns:xm="http://schemas.microsoft.com/office/excel/2006/main">
          <x14:cfRule type="cellIs" priority="227" stopIfTrue="1" operator="greaterThan" id="{E8E8A847-2159-4265-81BB-3778304F9E81}">
            <xm:f>(1+Projekteinstellungen!$B$9)*40*Projekteinstellungen!$B$21</xm:f>
            <x14:dxf>
              <font>
                <color rgb="FF000000"/>
              </font>
              <fill>
                <patternFill>
                  <bgColor rgb="FFF55F5F"/>
                </patternFill>
              </fill>
            </x14:dxf>
          </x14:cfRule>
          <xm:sqref>N8</xm:sqref>
        </x14:conditionalFormatting>
        <x14:conditionalFormatting xmlns:xm="http://schemas.microsoft.com/office/excel/2006/main">
          <x14:cfRule type="cellIs" priority="228" stopIfTrue="1" operator="greaterThan" id="{663B4107-BEC3-4DC0-865A-11970FC47656}">
            <xm:f>(1+Projekteinstellungen!$B$9)*40*Projekteinstellungen!$B$21</xm:f>
            <x14:dxf>
              <font>
                <color rgb="FF000000"/>
              </font>
              <fill>
                <patternFill>
                  <bgColor rgb="FFF55F5F"/>
                </patternFill>
              </fill>
            </x14:dxf>
          </x14:cfRule>
          <xm:sqref>Q8</xm:sqref>
        </x14:conditionalFormatting>
        <x14:conditionalFormatting xmlns:xm="http://schemas.microsoft.com/office/excel/2006/main">
          <x14:cfRule type="cellIs" priority="229" stopIfTrue="1" operator="greaterThan" id="{019C2D84-17F7-448E-8C88-B88958ED1DE4}">
            <xm:f>(1+Projekteinstellungen!$B$9)*40*Projekteinstellungen!$B$21</xm:f>
            <x14:dxf>
              <font>
                <color rgb="FF000000"/>
              </font>
              <fill>
                <patternFill>
                  <bgColor rgb="FFF55F5F"/>
                </patternFill>
              </fill>
            </x14:dxf>
          </x14:cfRule>
          <xm:sqref>R8</xm:sqref>
        </x14:conditionalFormatting>
        <x14:conditionalFormatting xmlns:xm="http://schemas.microsoft.com/office/excel/2006/main">
          <x14:cfRule type="cellIs" priority="384" stopIfTrue="1" operator="greaterThan" id="{05DED448-66C0-4F40-A227-90DF9AA10FD2}">
            <xm:f>(1+Projekteinstellungen!$B$9)*40*Projekteinstellungen!$B$21</xm:f>
            <x14:dxf>
              <font>
                <color rgb="FF000000"/>
              </font>
              <fill>
                <patternFill>
                  <bgColor rgb="FFF55F5F"/>
                </patternFill>
              </fill>
            </x14:dxf>
          </x14:cfRule>
          <xm:sqref>V19</xm:sqref>
        </x14:conditionalFormatting>
        <x14:conditionalFormatting xmlns:xm="http://schemas.microsoft.com/office/excel/2006/main">
          <x14:cfRule type="cellIs" priority="563" stopIfTrue="1" operator="greaterThan" id="{DA9918B9-B4B8-40B8-A98C-839F1073B568}">
            <xm:f>(1+Projekteinstellungen!$B$9)*14*Projekteinstellungen!$B$21</xm:f>
            <x14:dxf>
              <font>
                <color rgb="FF000000"/>
              </font>
              <fill>
                <patternFill>
                  <bgColor rgb="FFF55F5F"/>
                </patternFill>
              </fill>
            </x14:dxf>
          </x14:cfRule>
          <xm:sqref>W19</xm:sqref>
        </x14:conditionalFormatting>
        <x14:conditionalFormatting xmlns:xm="http://schemas.microsoft.com/office/excel/2006/main">
          <x14:cfRule type="cellIs" priority="642" stopIfTrue="1" operator="greaterThan" id="{BF9F5C2D-A1D1-4F3D-8388-2A08EF7BCE96}">
            <xm:f>(1+Projekteinstellungen!$B$9)*1*40*Projekteinstellungen!$B$21</xm:f>
            <x14:dxf>
              <font>
                <color rgb="FF000000"/>
              </font>
              <fill>
                <patternFill>
                  <bgColor rgb="FFF55F5F"/>
                </patternFill>
              </fill>
            </x14:dxf>
          </x14:cfRule>
          <xm:sqref>S24</xm:sqref>
        </x14:conditionalFormatting>
        <x14:conditionalFormatting xmlns:xm="http://schemas.microsoft.com/office/excel/2006/main">
          <x14:cfRule type="cellIs" priority="643" stopIfTrue="1" operator="lessThan" id="{4C15BDBB-7E4D-4D43-B85F-730BEFE87F0E}">
            <xm:f>(1-Projekteinstellungen!$M$9)*1*40*Projekteinstellungen!$B$21</xm:f>
            <x14:dxf>
              <font>
                <color rgb="FF000000"/>
              </font>
              <fill>
                <patternFill>
                  <bgColor rgb="FFFFD966"/>
                </patternFill>
              </fill>
            </x14:dxf>
          </x14:cfRule>
          <xm:sqref>S24</xm:sqref>
        </x14:conditionalFormatting>
        <x14:conditionalFormatting xmlns:xm="http://schemas.microsoft.com/office/excel/2006/main">
          <x14:cfRule type="cellIs" priority="644" stopIfTrue="1" operator="greaterThan" id="{3F76BE5D-888C-443B-98CD-FB301FA3EEE5}">
            <xm:f>(1+Projekteinstellungen!$B$9)*1*40*Projekteinstellungen!$B$21</xm:f>
            <x14:dxf>
              <font>
                <color rgb="FF000000"/>
              </font>
              <fill>
                <patternFill>
                  <bgColor rgb="FFF55F5F"/>
                </patternFill>
              </fill>
            </x14:dxf>
          </x14:cfRule>
          <xm:sqref>T24</xm:sqref>
        </x14:conditionalFormatting>
        <x14:conditionalFormatting xmlns:xm="http://schemas.microsoft.com/office/excel/2006/main">
          <x14:cfRule type="cellIs" priority="645" stopIfTrue="1" operator="lessThan" id="{358C6266-5A37-4983-AA79-A982F2C3BBE3}">
            <xm:f>(1-Projekteinstellungen!$M$9)*1*40*Projekteinstellungen!$B$21</xm:f>
            <x14:dxf>
              <font>
                <color rgb="FF000000"/>
              </font>
              <fill>
                <patternFill>
                  <bgColor rgb="FFFFD966"/>
                </patternFill>
              </fill>
            </x14:dxf>
          </x14:cfRule>
          <xm:sqref>T24</xm:sqref>
        </x14:conditionalFormatting>
        <x14:conditionalFormatting xmlns:xm="http://schemas.microsoft.com/office/excel/2006/main">
          <x14:cfRule type="cellIs" priority="646" stopIfTrue="1" operator="greaterThan" id="{6EC8B731-2901-4BBA-AEC5-AD58D4352AAE}">
            <xm:f>(1+Projekteinstellungen!$B$9)*1*40*Projekteinstellungen!$B$21</xm:f>
            <x14:dxf>
              <font>
                <color rgb="FF000000"/>
              </font>
              <fill>
                <patternFill>
                  <bgColor rgb="FFF55F5F"/>
                </patternFill>
              </fill>
            </x14:dxf>
          </x14:cfRule>
          <xm:sqref>U24</xm:sqref>
        </x14:conditionalFormatting>
        <x14:conditionalFormatting xmlns:xm="http://schemas.microsoft.com/office/excel/2006/main">
          <x14:cfRule type="cellIs" priority="647" stopIfTrue="1" operator="lessThan" id="{67E67B76-8DB9-4916-B68E-0790CD643806}">
            <xm:f>(1-Projekteinstellungen!$M$9)*1*40*Projekteinstellungen!$B$21</xm:f>
            <x14:dxf>
              <font>
                <color rgb="FF000000"/>
              </font>
              <fill>
                <patternFill>
                  <bgColor rgb="FFFFD966"/>
                </patternFill>
              </fill>
            </x14:dxf>
          </x14:cfRule>
          <xm:sqref>U24</xm:sqref>
        </x14:conditionalFormatting>
        <x14:conditionalFormatting xmlns:xm="http://schemas.microsoft.com/office/excel/2006/main">
          <x14:cfRule type="cellIs" priority="648" stopIfTrue="1" operator="greaterThan" id="{BFD7EA1E-F1ED-4F4A-B133-4F07CDD2FFB2}">
            <xm:f>(1+Projekteinstellungen!$B$9)*1*40*Projekteinstellungen!$B$21</xm:f>
            <x14:dxf>
              <font>
                <color rgb="FF000000"/>
              </font>
              <fill>
                <patternFill>
                  <bgColor rgb="FFF55F5F"/>
                </patternFill>
              </fill>
            </x14:dxf>
          </x14:cfRule>
          <xm:sqref>V24</xm:sqref>
        </x14:conditionalFormatting>
        <x14:conditionalFormatting xmlns:xm="http://schemas.microsoft.com/office/excel/2006/main">
          <x14:cfRule type="cellIs" priority="649" stopIfTrue="1" operator="lessThan" id="{6D6101D9-EF7C-433C-90D9-21F04FB777CB}">
            <xm:f>(1-Projekteinstellungen!$M$9)*1*40*Projekteinstellungen!$B$21</xm:f>
            <x14:dxf>
              <font>
                <color rgb="FF000000"/>
              </font>
              <fill>
                <patternFill>
                  <bgColor rgb="FFFFD966"/>
                </patternFill>
              </fill>
            </x14:dxf>
          </x14:cfRule>
          <xm:sqref>V24</xm:sqref>
        </x14:conditionalFormatting>
        <x14:conditionalFormatting xmlns:xm="http://schemas.microsoft.com/office/excel/2006/main">
          <x14:cfRule type="cellIs" priority="650" stopIfTrue="1" operator="greaterThan" id="{372EBC8C-D86F-46F8-B0B7-E1FDA1AC4366}">
            <xm:f>(1+Projekteinstellungen!$B$9)*1*40*Projekteinstellungen!$B$21</xm:f>
            <x14:dxf>
              <font>
                <color rgb="FF000000"/>
              </font>
              <fill>
                <patternFill>
                  <bgColor rgb="FFF55F5F"/>
                </patternFill>
              </fill>
            </x14:dxf>
          </x14:cfRule>
          <xm:sqref>W24</xm:sqref>
        </x14:conditionalFormatting>
        <x14:conditionalFormatting xmlns:xm="http://schemas.microsoft.com/office/excel/2006/main">
          <x14:cfRule type="cellIs" priority="651" stopIfTrue="1" operator="lessThan" id="{6EDEF6FE-C157-4E65-9BC1-10D2D78E6B61}">
            <xm:f>(1-Projekteinstellungen!$M$9)*1*40*Projekteinstellungen!$B$21</xm:f>
            <x14:dxf>
              <font>
                <color rgb="FF000000"/>
              </font>
              <fill>
                <patternFill>
                  <bgColor rgb="FFFFD966"/>
                </patternFill>
              </fill>
            </x14:dxf>
          </x14:cfRule>
          <xm:sqref>W24</xm:sqref>
        </x14:conditionalFormatting>
        <x14:conditionalFormatting xmlns:xm="http://schemas.microsoft.com/office/excel/2006/main">
          <x14:cfRule type="cellIs" priority="652" stopIfTrue="1" operator="greaterThan" id="{69C42A52-75AA-466E-89A0-3E63169F09CE}">
            <xm:f>(1+Projekteinstellungen!$B$9)*1*40*Projekteinstellungen!$B$21</xm:f>
            <x14:dxf>
              <font>
                <color rgb="FF000000"/>
              </font>
              <fill>
                <patternFill>
                  <bgColor rgb="FFF55F5F"/>
                </patternFill>
              </fill>
            </x14:dxf>
          </x14:cfRule>
          <xm:sqref>S21</xm:sqref>
        </x14:conditionalFormatting>
        <x14:conditionalFormatting xmlns:xm="http://schemas.microsoft.com/office/excel/2006/main">
          <x14:cfRule type="cellIs" priority="653" stopIfTrue="1" operator="lessThan" id="{6882F1B5-074D-4CA9-80D9-43CEF3C7FB3C}">
            <xm:f>(1-Projekteinstellungen!$M$9)*1*40*Projekteinstellungen!$B$21</xm:f>
            <x14:dxf>
              <font>
                <color rgb="FF000000"/>
              </font>
              <fill>
                <patternFill>
                  <bgColor rgb="FFFFD966"/>
                </patternFill>
              </fill>
            </x14:dxf>
          </x14:cfRule>
          <xm:sqref>S21</xm:sqref>
        </x14:conditionalFormatting>
        <x14:conditionalFormatting xmlns:xm="http://schemas.microsoft.com/office/excel/2006/main">
          <x14:cfRule type="cellIs" priority="654" stopIfTrue="1" operator="greaterThan" id="{C1269519-CCF5-4ECE-BFCE-A0EA92B651C6}">
            <xm:f>(1+Projekteinstellungen!$B$9)*1*40*Projekteinstellungen!$B$21</xm:f>
            <x14:dxf>
              <font>
                <color rgb="FF000000"/>
              </font>
              <fill>
                <patternFill>
                  <bgColor rgb="FFF55F5F"/>
                </patternFill>
              </fill>
            </x14:dxf>
          </x14:cfRule>
          <xm:sqref>T21</xm:sqref>
        </x14:conditionalFormatting>
        <x14:conditionalFormatting xmlns:xm="http://schemas.microsoft.com/office/excel/2006/main">
          <x14:cfRule type="cellIs" priority="655" stopIfTrue="1" operator="lessThan" id="{E0306D5A-F2F5-45C0-B960-B3E47D156F96}">
            <xm:f>(1-Projekteinstellungen!$M$9)*1*40*Projekteinstellungen!$B$21</xm:f>
            <x14:dxf>
              <font>
                <color rgb="FF000000"/>
              </font>
              <fill>
                <patternFill>
                  <bgColor rgb="FFFFD966"/>
                </patternFill>
              </fill>
            </x14:dxf>
          </x14:cfRule>
          <xm:sqref>T21</xm:sqref>
        </x14:conditionalFormatting>
        <x14:conditionalFormatting xmlns:xm="http://schemas.microsoft.com/office/excel/2006/main">
          <x14:cfRule type="cellIs" priority="656" stopIfTrue="1" operator="greaterThan" id="{CEE343A1-0739-4C55-87BA-6884BEAE11D2}">
            <xm:f>(1+Projekteinstellungen!$B$9)*1*40*Projekteinstellungen!$B$21</xm:f>
            <x14:dxf>
              <font>
                <color rgb="FF000000"/>
              </font>
              <fill>
                <patternFill>
                  <bgColor rgb="FFF55F5F"/>
                </patternFill>
              </fill>
            </x14:dxf>
          </x14:cfRule>
          <xm:sqref>U21</xm:sqref>
        </x14:conditionalFormatting>
        <x14:conditionalFormatting xmlns:xm="http://schemas.microsoft.com/office/excel/2006/main">
          <x14:cfRule type="cellIs" priority="657" stopIfTrue="1" operator="lessThan" id="{A41FF43C-88FA-4378-B1FE-5E3EC50D2D8E}">
            <xm:f>(1-Projekteinstellungen!$M$9)*1*40*Projekteinstellungen!$B$21</xm:f>
            <x14:dxf>
              <font>
                <color rgb="FF000000"/>
              </font>
              <fill>
                <patternFill>
                  <bgColor rgb="FFFFD966"/>
                </patternFill>
              </fill>
            </x14:dxf>
          </x14:cfRule>
          <xm:sqref>U21</xm:sqref>
        </x14:conditionalFormatting>
        <x14:conditionalFormatting xmlns:xm="http://schemas.microsoft.com/office/excel/2006/main">
          <x14:cfRule type="cellIs" priority="658" stopIfTrue="1" operator="greaterThan" id="{7CFF0E2A-40D9-4C90-91EB-DE6721872728}">
            <xm:f>(1+Projekteinstellungen!$B$9)*1*40*Projekteinstellungen!$B$21</xm:f>
            <x14:dxf>
              <font>
                <color rgb="FF000000"/>
              </font>
              <fill>
                <patternFill>
                  <bgColor rgb="FFF55F5F"/>
                </patternFill>
              </fill>
            </x14:dxf>
          </x14:cfRule>
          <xm:sqref>V21</xm:sqref>
        </x14:conditionalFormatting>
        <x14:conditionalFormatting xmlns:xm="http://schemas.microsoft.com/office/excel/2006/main">
          <x14:cfRule type="cellIs" priority="659" stopIfTrue="1" operator="lessThan" id="{C922639C-49DC-4512-84CE-DC764FE12C3F}">
            <xm:f>(1-Projekteinstellungen!$M$9)*1*40*Projekteinstellungen!$B$21</xm:f>
            <x14:dxf>
              <font>
                <color rgb="FF000000"/>
              </font>
              <fill>
                <patternFill>
                  <bgColor rgb="FFFFD966"/>
                </patternFill>
              </fill>
            </x14:dxf>
          </x14:cfRule>
          <xm:sqref>V21</xm:sqref>
        </x14:conditionalFormatting>
        <x14:conditionalFormatting xmlns:xm="http://schemas.microsoft.com/office/excel/2006/main">
          <x14:cfRule type="cellIs" priority="660" stopIfTrue="1" operator="greaterThan" id="{E106229E-4A1D-4AFD-A8B4-6160544DF720}">
            <xm:f>(1+Projekteinstellungen!$B$9)*1*40*Projekteinstellungen!$B$21</xm:f>
            <x14:dxf>
              <font>
                <color rgb="FF000000"/>
              </font>
              <fill>
                <patternFill>
                  <bgColor rgb="FFF55F5F"/>
                </patternFill>
              </fill>
            </x14:dxf>
          </x14:cfRule>
          <xm:sqref>W21</xm:sqref>
        </x14:conditionalFormatting>
        <x14:conditionalFormatting xmlns:xm="http://schemas.microsoft.com/office/excel/2006/main">
          <x14:cfRule type="cellIs" priority="661" stopIfTrue="1" operator="lessThan" id="{6B89721B-3526-4DB2-98A5-C626FD60C171}">
            <xm:f>(1-Projekteinstellungen!$M$9)*1*40*Projekteinstellungen!$B$21</xm:f>
            <x14:dxf>
              <font>
                <color rgb="FF000000"/>
              </font>
              <fill>
                <patternFill>
                  <bgColor rgb="FFFFD966"/>
                </patternFill>
              </fill>
            </x14:dxf>
          </x14:cfRule>
          <xm:sqref>W21</xm:sqref>
        </x14:conditionalFormatting>
        <x14:conditionalFormatting xmlns:xm="http://schemas.microsoft.com/office/excel/2006/main">
          <x14:cfRule type="cellIs" priority="662" stopIfTrue="1" operator="greaterThan" id="{E1D71CE0-2D5E-4EC6-BD61-BBAD904FFB54}">
            <xm:f>(1+Projekteinstellungen!$B$9)*0.5*40*Projekteinstellungen!$B$21</xm:f>
            <x14:dxf>
              <font>
                <color rgb="FF000000"/>
              </font>
              <fill>
                <patternFill>
                  <bgColor rgb="FFF55F5F"/>
                </patternFill>
              </fill>
            </x14:dxf>
          </x14:cfRule>
          <xm:sqref>S20</xm:sqref>
        </x14:conditionalFormatting>
        <x14:conditionalFormatting xmlns:xm="http://schemas.microsoft.com/office/excel/2006/main">
          <x14:cfRule type="cellIs" priority="663" stopIfTrue="1" operator="lessThan" id="{641F929C-6AD8-4A29-80E8-C71D9812BA6D}">
            <xm:f>(1-Projekteinstellungen!$M$9)*0.5*40*Projekteinstellungen!$B$21</xm:f>
            <x14:dxf>
              <font>
                <color rgb="FF000000"/>
              </font>
              <fill>
                <patternFill>
                  <bgColor rgb="FFFFD966"/>
                </patternFill>
              </fill>
            </x14:dxf>
          </x14:cfRule>
          <xm:sqref>S20</xm:sqref>
        </x14:conditionalFormatting>
        <x14:conditionalFormatting xmlns:xm="http://schemas.microsoft.com/office/excel/2006/main">
          <x14:cfRule type="cellIs" priority="664" stopIfTrue="1" operator="greaterThan" id="{90A86878-093B-4760-92D4-751F03F2875E}">
            <xm:f>(1+Projekteinstellungen!$B$9)*0.5*40*Projekteinstellungen!$B$21</xm:f>
            <x14:dxf>
              <font>
                <color rgb="FF000000"/>
              </font>
              <fill>
                <patternFill>
                  <bgColor rgb="FFF55F5F"/>
                </patternFill>
              </fill>
            </x14:dxf>
          </x14:cfRule>
          <xm:sqref>T20</xm:sqref>
        </x14:conditionalFormatting>
        <x14:conditionalFormatting xmlns:xm="http://schemas.microsoft.com/office/excel/2006/main">
          <x14:cfRule type="cellIs" priority="665" stopIfTrue="1" operator="lessThan" id="{DCF89FF5-0913-4DD7-9B1E-8D7A26EB9C11}">
            <xm:f>(1-Projekteinstellungen!$M$9)*0.5*40*Projekteinstellungen!$B$21</xm:f>
            <x14:dxf>
              <font>
                <color rgb="FF000000"/>
              </font>
              <fill>
                <patternFill>
                  <bgColor rgb="FFFFD966"/>
                </patternFill>
              </fill>
            </x14:dxf>
          </x14:cfRule>
          <xm:sqref>T20</xm:sqref>
        </x14:conditionalFormatting>
        <x14:conditionalFormatting xmlns:xm="http://schemas.microsoft.com/office/excel/2006/main">
          <x14:cfRule type="cellIs" priority="666" stopIfTrue="1" operator="greaterThan" id="{C2B091D5-DC9D-4C80-8910-2CE0C190E580}">
            <xm:f>(1+Projekteinstellungen!$B$9)*0.5*40*Projekteinstellungen!$B$21</xm:f>
            <x14:dxf>
              <font>
                <color rgb="FF000000"/>
              </font>
              <fill>
                <patternFill>
                  <bgColor rgb="FFF55F5F"/>
                </patternFill>
              </fill>
            </x14:dxf>
          </x14:cfRule>
          <xm:sqref>V20</xm:sqref>
        </x14:conditionalFormatting>
        <x14:conditionalFormatting xmlns:xm="http://schemas.microsoft.com/office/excel/2006/main">
          <x14:cfRule type="cellIs" priority="667" stopIfTrue="1" operator="lessThan" id="{C80C5EAE-8851-4602-80C4-A9F30EFC110B}">
            <xm:f>(1-Projekteinstellungen!$M$9)*0.5*40*Projekteinstellungen!$B$21</xm:f>
            <x14:dxf>
              <font>
                <color rgb="FF000000"/>
              </font>
              <fill>
                <patternFill>
                  <bgColor rgb="FFFFD966"/>
                </patternFill>
              </fill>
            </x14:dxf>
          </x14:cfRule>
          <xm:sqref>V20</xm:sqref>
        </x14:conditionalFormatting>
        <x14:conditionalFormatting xmlns:xm="http://schemas.microsoft.com/office/excel/2006/main">
          <x14:cfRule type="cellIs" priority="668" stopIfTrue="1" operator="greaterThan" id="{E8E4B709-38EF-4B26-9CA7-D57993708D86}">
            <xm:f>(1+Projekteinstellungen!$B$9)*0.5*40*Projekteinstellungen!$B$21</xm:f>
            <x14:dxf>
              <font>
                <color rgb="FF000000"/>
              </font>
              <fill>
                <patternFill>
                  <bgColor rgb="FFF55F5F"/>
                </patternFill>
              </fill>
            </x14:dxf>
          </x14:cfRule>
          <xm:sqref>W20</xm:sqref>
        </x14:conditionalFormatting>
        <x14:conditionalFormatting xmlns:xm="http://schemas.microsoft.com/office/excel/2006/main">
          <x14:cfRule type="cellIs" priority="669" stopIfTrue="1" operator="lessThan" id="{579EEDFD-C0ED-4686-8138-0556671B48F6}">
            <xm:f>(1-Projekteinstellungen!$M$9)*0.5*40*Projekteinstellungen!$B$21</xm:f>
            <x14:dxf>
              <font>
                <color rgb="FF000000"/>
              </font>
              <fill>
                <patternFill>
                  <bgColor rgb="FFFFD966"/>
                </patternFill>
              </fill>
            </x14:dxf>
          </x14:cfRule>
          <xm:sqref>W20</xm:sqref>
        </x14:conditionalFormatting>
        <x14:conditionalFormatting xmlns:xm="http://schemas.microsoft.com/office/excel/2006/main">
          <x14:cfRule type="cellIs" priority="670" stopIfTrue="1" operator="greaterThan" id="{08598026-1591-416F-A18A-1AAB73860A56}">
            <xm:f>(1+Projekteinstellungen!$B$9)*1*40*Projekteinstellungen!$B$21</xm:f>
            <x14:dxf>
              <font>
                <color rgb="FF000000"/>
              </font>
              <fill>
                <patternFill>
                  <bgColor rgb="FFF55F5F"/>
                </patternFill>
              </fill>
            </x14:dxf>
          </x14:cfRule>
          <xm:sqref>V18</xm:sqref>
        </x14:conditionalFormatting>
        <x14:conditionalFormatting xmlns:xm="http://schemas.microsoft.com/office/excel/2006/main">
          <x14:cfRule type="cellIs" priority="671" stopIfTrue="1" operator="lessThan" id="{60F8B158-B32C-4018-859A-6C23DF49C126}">
            <xm:f>(1-Projekteinstellungen!$M$9)*1*40*Projekteinstellungen!$B$21</xm:f>
            <x14:dxf>
              <font>
                <color rgb="FF000000"/>
              </font>
              <fill>
                <patternFill>
                  <bgColor rgb="FFFFD966"/>
                </patternFill>
              </fill>
            </x14:dxf>
          </x14:cfRule>
          <xm:sqref>V18</xm:sqref>
        </x14:conditionalFormatting>
        <x14:conditionalFormatting xmlns:xm="http://schemas.microsoft.com/office/excel/2006/main">
          <x14:cfRule type="cellIs" priority="672" stopIfTrue="1" operator="greaterThan" id="{E10CA24F-3E4A-4BE3-A604-404FFDBA7AA4}">
            <xm:f>(1+Projekteinstellungen!$B$9)*1*40*Projekteinstellungen!$B$21</xm:f>
            <x14:dxf>
              <font>
                <color rgb="FF000000"/>
              </font>
              <fill>
                <patternFill>
                  <bgColor rgb="FFF55F5F"/>
                </patternFill>
              </fill>
            </x14:dxf>
          </x14:cfRule>
          <xm:sqref>W18</xm:sqref>
        </x14:conditionalFormatting>
        <x14:conditionalFormatting xmlns:xm="http://schemas.microsoft.com/office/excel/2006/main">
          <x14:cfRule type="cellIs" priority="673" stopIfTrue="1" operator="lessThan" id="{7A6E1243-0323-4B72-A7F1-C407D9315EA7}">
            <xm:f>(1-Projekteinstellungen!$M$9)*1*40*Projekteinstellungen!$B$21</xm:f>
            <x14:dxf>
              <font>
                <color rgb="FF000000"/>
              </font>
              <fill>
                <patternFill>
                  <bgColor rgb="FFFFD966"/>
                </patternFill>
              </fill>
            </x14:dxf>
          </x14:cfRule>
          <xm:sqref>W18</xm:sqref>
        </x14:conditionalFormatting>
        <x14:conditionalFormatting xmlns:xm="http://schemas.microsoft.com/office/excel/2006/main">
          <x14:cfRule type="cellIs" priority="674" stopIfTrue="1" operator="greaterThan" id="{DA524E41-A18B-448F-AC3E-FF1FDB30D1BE}">
            <xm:f>(1+Projekteinstellungen!$B$9)*1*40*Projekteinstellungen!$B$21</xm:f>
            <x14:dxf>
              <font>
                <color rgb="FF000000"/>
              </font>
              <fill>
                <patternFill>
                  <bgColor rgb="FFF55F5F"/>
                </patternFill>
              </fill>
            </x14:dxf>
          </x14:cfRule>
          <xm:sqref>S17</xm:sqref>
        </x14:conditionalFormatting>
        <x14:conditionalFormatting xmlns:xm="http://schemas.microsoft.com/office/excel/2006/main">
          <x14:cfRule type="cellIs" priority="675" stopIfTrue="1" operator="lessThan" id="{31E41F0D-E5B8-471C-8F74-317A919E5AE2}">
            <xm:f>(1-Projekteinstellungen!$M$9)*1*40*Projekteinstellungen!$B$21</xm:f>
            <x14:dxf>
              <font>
                <color rgb="FF000000"/>
              </font>
              <fill>
                <patternFill>
                  <bgColor rgb="FFFFD966"/>
                </patternFill>
              </fill>
            </x14:dxf>
          </x14:cfRule>
          <xm:sqref>S17</xm:sqref>
        </x14:conditionalFormatting>
        <x14:conditionalFormatting xmlns:xm="http://schemas.microsoft.com/office/excel/2006/main">
          <x14:cfRule type="cellIs" priority="676" stopIfTrue="1" operator="greaterThan" id="{4BC882CF-07EE-453B-B7B2-5C38FCD414E2}">
            <xm:f>(1+Projekteinstellungen!$B$9)*1*40*Projekteinstellungen!$B$21</xm:f>
            <x14:dxf>
              <font>
                <color rgb="FF000000"/>
              </font>
              <fill>
                <patternFill>
                  <bgColor rgb="FFF55F5F"/>
                </patternFill>
              </fill>
            </x14:dxf>
          </x14:cfRule>
          <xm:sqref>T17</xm:sqref>
        </x14:conditionalFormatting>
        <x14:conditionalFormatting xmlns:xm="http://schemas.microsoft.com/office/excel/2006/main">
          <x14:cfRule type="cellIs" priority="677" stopIfTrue="1" operator="lessThan" id="{7D629572-8301-4D96-915D-D3008593E39E}">
            <xm:f>(1-Projekteinstellungen!$M$9)*1*40*Projekteinstellungen!$B$21</xm:f>
            <x14:dxf>
              <font>
                <color rgb="FF000000"/>
              </font>
              <fill>
                <patternFill>
                  <bgColor rgb="FFFFD966"/>
                </patternFill>
              </fill>
            </x14:dxf>
          </x14:cfRule>
          <xm:sqref>T17</xm:sqref>
        </x14:conditionalFormatting>
        <x14:conditionalFormatting xmlns:xm="http://schemas.microsoft.com/office/excel/2006/main">
          <x14:cfRule type="cellIs" priority="678" stopIfTrue="1" operator="greaterThan" id="{10968014-743C-4B8D-A329-FE25EA86F98D}">
            <xm:f>(1+Projekteinstellungen!$B$9)*1*40*Projekteinstellungen!$B$21</xm:f>
            <x14:dxf>
              <font>
                <color rgb="FF000000"/>
              </font>
              <fill>
                <patternFill>
                  <bgColor rgb="FFF55F5F"/>
                </patternFill>
              </fill>
            </x14:dxf>
          </x14:cfRule>
          <xm:sqref>U17</xm:sqref>
        </x14:conditionalFormatting>
        <x14:conditionalFormatting xmlns:xm="http://schemas.microsoft.com/office/excel/2006/main">
          <x14:cfRule type="cellIs" priority="679" stopIfTrue="1" operator="lessThan" id="{0BE2C546-272E-41EA-8BD2-1C4545FCB618}">
            <xm:f>(1-Projekteinstellungen!$M$9)*1*40*Projekteinstellungen!$B$21</xm:f>
            <x14:dxf>
              <font>
                <color rgb="FF000000"/>
              </font>
              <fill>
                <patternFill>
                  <bgColor rgb="FFFFD966"/>
                </patternFill>
              </fill>
            </x14:dxf>
          </x14:cfRule>
          <xm:sqref>U17</xm:sqref>
        </x14:conditionalFormatting>
        <x14:conditionalFormatting xmlns:xm="http://schemas.microsoft.com/office/excel/2006/main">
          <x14:cfRule type="cellIs" priority="680" stopIfTrue="1" operator="greaterThan" id="{B83E2D77-ECA9-4D77-9F7C-C33494D367C7}">
            <xm:f>(1+Projekteinstellungen!$B$9)*1*40*Projekteinstellungen!$B$21</xm:f>
            <x14:dxf>
              <font>
                <color rgb="FF000000"/>
              </font>
              <fill>
                <patternFill>
                  <bgColor rgb="FFF55F5F"/>
                </patternFill>
              </fill>
            </x14:dxf>
          </x14:cfRule>
          <xm:sqref>W17</xm:sqref>
        </x14:conditionalFormatting>
        <x14:conditionalFormatting xmlns:xm="http://schemas.microsoft.com/office/excel/2006/main">
          <x14:cfRule type="cellIs" priority="681" stopIfTrue="1" operator="lessThan" id="{026CB74C-7B17-42DD-9960-7B6277A6168B}">
            <xm:f>(1-Projekteinstellungen!$M$9)*1*40*Projekteinstellungen!$B$21</xm:f>
            <x14:dxf>
              <font>
                <color rgb="FF000000"/>
              </font>
              <fill>
                <patternFill>
                  <bgColor rgb="FFFFD966"/>
                </patternFill>
              </fill>
            </x14:dxf>
          </x14:cfRule>
          <xm:sqref>W17</xm:sqref>
        </x14:conditionalFormatting>
        <x14:conditionalFormatting xmlns:xm="http://schemas.microsoft.com/office/excel/2006/main">
          <x14:cfRule type="cellIs" priority="682" stopIfTrue="1" operator="greaterThan" id="{23DEF784-116E-4BE5-BBEE-BEFE105C3B83}">
            <xm:f>(1+Projekteinstellungen!$B$9)*1*40*Projekteinstellungen!$B$21</xm:f>
            <x14:dxf>
              <font>
                <color rgb="FF000000"/>
              </font>
              <fill>
                <patternFill>
                  <bgColor rgb="FFF55F5F"/>
                </patternFill>
              </fill>
            </x14:dxf>
          </x14:cfRule>
          <xm:sqref>T16</xm:sqref>
        </x14:conditionalFormatting>
        <x14:conditionalFormatting xmlns:xm="http://schemas.microsoft.com/office/excel/2006/main">
          <x14:cfRule type="cellIs" priority="683" stopIfTrue="1" operator="lessThan" id="{62CC7107-F2DA-4652-811A-414338D66C33}">
            <xm:f>(1-Projekteinstellungen!$M$9)*1*40*Projekteinstellungen!$B$21</xm:f>
            <x14:dxf>
              <font>
                <color rgb="FF000000"/>
              </font>
              <fill>
                <patternFill>
                  <bgColor rgb="FFFFD966"/>
                </patternFill>
              </fill>
            </x14:dxf>
          </x14:cfRule>
          <xm:sqref>T16</xm:sqref>
        </x14:conditionalFormatting>
        <x14:conditionalFormatting xmlns:xm="http://schemas.microsoft.com/office/excel/2006/main">
          <x14:cfRule type="cellIs" priority="684" stopIfTrue="1" operator="greaterThan" id="{15F9A587-1249-48B8-A976-FA7AB5271619}">
            <xm:f>(1+Projekteinstellungen!$B$9)*1*40*Projekteinstellungen!$B$21</xm:f>
            <x14:dxf>
              <font>
                <color rgb="FF000000"/>
              </font>
              <fill>
                <patternFill>
                  <bgColor rgb="FFF55F5F"/>
                </patternFill>
              </fill>
            </x14:dxf>
          </x14:cfRule>
          <xm:sqref>U16</xm:sqref>
        </x14:conditionalFormatting>
        <x14:conditionalFormatting xmlns:xm="http://schemas.microsoft.com/office/excel/2006/main">
          <x14:cfRule type="cellIs" priority="685" stopIfTrue="1" operator="lessThan" id="{3F477AE0-3F9E-47CB-93E4-0B96B6515076}">
            <xm:f>(1-Projekteinstellungen!$M$9)*1*40*Projekteinstellungen!$B$21</xm:f>
            <x14:dxf>
              <font>
                <color rgb="FF000000"/>
              </font>
              <fill>
                <patternFill>
                  <bgColor rgb="FFFFD966"/>
                </patternFill>
              </fill>
            </x14:dxf>
          </x14:cfRule>
          <xm:sqref>U16</xm:sqref>
        </x14:conditionalFormatting>
        <x14:conditionalFormatting xmlns:xm="http://schemas.microsoft.com/office/excel/2006/main">
          <x14:cfRule type="cellIs" priority="686" stopIfTrue="1" operator="greaterThan" id="{3684F692-6B7F-4681-9128-93DF1D43F0D7}">
            <xm:f>(1+Projekteinstellungen!$B$9)*1*40*Projekteinstellungen!$B$21</xm:f>
            <x14:dxf>
              <font>
                <color rgb="FF000000"/>
              </font>
              <fill>
                <patternFill>
                  <bgColor rgb="FFF55F5F"/>
                </patternFill>
              </fill>
            </x14:dxf>
          </x14:cfRule>
          <xm:sqref>V16</xm:sqref>
        </x14:conditionalFormatting>
        <x14:conditionalFormatting xmlns:xm="http://schemas.microsoft.com/office/excel/2006/main">
          <x14:cfRule type="cellIs" priority="687" stopIfTrue="1" operator="lessThan" id="{4C45614B-10A5-4AF2-9C68-D8E51AA77620}">
            <xm:f>(1-Projekteinstellungen!$M$9)*1*40*Projekteinstellungen!$B$21</xm:f>
            <x14:dxf>
              <font>
                <color rgb="FF000000"/>
              </font>
              <fill>
                <patternFill>
                  <bgColor rgb="FFFFD966"/>
                </patternFill>
              </fill>
            </x14:dxf>
          </x14:cfRule>
          <xm:sqref>V16</xm:sqref>
        </x14:conditionalFormatting>
        <x14:conditionalFormatting xmlns:xm="http://schemas.microsoft.com/office/excel/2006/main">
          <x14:cfRule type="cellIs" priority="688" stopIfTrue="1" operator="greaterThan" id="{4FAEE720-578A-4608-A3E2-6E03AD0D4286}">
            <xm:f>(1+Projekteinstellungen!$B$9)*1*40*Projekteinstellungen!$B$21</xm:f>
            <x14:dxf>
              <font>
                <color rgb="FF000000"/>
              </font>
              <fill>
                <patternFill>
                  <bgColor rgb="FFF55F5F"/>
                </patternFill>
              </fill>
            </x14:dxf>
          </x14:cfRule>
          <xm:sqref>S15</xm:sqref>
        </x14:conditionalFormatting>
        <x14:conditionalFormatting xmlns:xm="http://schemas.microsoft.com/office/excel/2006/main">
          <x14:cfRule type="cellIs" priority="689" stopIfTrue="1" operator="lessThan" id="{25B89C3E-742D-47D7-AFE2-4516A70C8CB9}">
            <xm:f>(1-Projekteinstellungen!$M$9)*1*40*Projekteinstellungen!$B$21</xm:f>
            <x14:dxf>
              <font>
                <color rgb="FF000000"/>
              </font>
              <fill>
                <patternFill>
                  <bgColor rgb="FFFFD966"/>
                </patternFill>
              </fill>
            </x14:dxf>
          </x14:cfRule>
          <xm:sqref>S15</xm:sqref>
        </x14:conditionalFormatting>
        <x14:conditionalFormatting xmlns:xm="http://schemas.microsoft.com/office/excel/2006/main">
          <x14:cfRule type="cellIs" priority="690" stopIfTrue="1" operator="greaterThan" id="{0BE6D42B-3B44-4F10-8323-94D36FC6B84E}">
            <xm:f>(1+Projekteinstellungen!$B$9)*1*40*Projekteinstellungen!$B$21</xm:f>
            <x14:dxf>
              <font>
                <color rgb="FF000000"/>
              </font>
              <fill>
                <patternFill>
                  <bgColor rgb="FFF55F5F"/>
                </patternFill>
              </fill>
            </x14:dxf>
          </x14:cfRule>
          <xm:sqref>T15</xm:sqref>
        </x14:conditionalFormatting>
        <x14:conditionalFormatting xmlns:xm="http://schemas.microsoft.com/office/excel/2006/main">
          <x14:cfRule type="cellIs" priority="691" stopIfTrue="1" operator="lessThan" id="{3CC3C913-7839-46BE-A110-A4FFB24D274E}">
            <xm:f>(1-Projekteinstellungen!$M$9)*1*40*Projekteinstellungen!$B$21</xm:f>
            <x14:dxf>
              <font>
                <color rgb="FF000000"/>
              </font>
              <fill>
                <patternFill>
                  <bgColor rgb="FFFFD966"/>
                </patternFill>
              </fill>
            </x14:dxf>
          </x14:cfRule>
          <xm:sqref>T15</xm:sqref>
        </x14:conditionalFormatting>
        <x14:conditionalFormatting xmlns:xm="http://schemas.microsoft.com/office/excel/2006/main">
          <x14:cfRule type="cellIs" priority="692" stopIfTrue="1" operator="greaterThan" id="{FF6F190C-B76E-46D6-996A-8585207261D1}">
            <xm:f>(1+Projekteinstellungen!$B$9)*1*40*Projekteinstellungen!$B$21</xm:f>
            <x14:dxf>
              <font>
                <color rgb="FF000000"/>
              </font>
              <fill>
                <patternFill>
                  <bgColor rgb="FFF55F5F"/>
                </patternFill>
              </fill>
            </x14:dxf>
          </x14:cfRule>
          <xm:sqref>U15</xm:sqref>
        </x14:conditionalFormatting>
        <x14:conditionalFormatting xmlns:xm="http://schemas.microsoft.com/office/excel/2006/main">
          <x14:cfRule type="cellIs" priority="693" stopIfTrue="1" operator="lessThan" id="{DBC5A2E4-8BE3-4D96-B56B-88ABE74FF498}">
            <xm:f>(1-Projekteinstellungen!$M$9)*1*40*Projekteinstellungen!$B$21</xm:f>
            <x14:dxf>
              <font>
                <color rgb="FF000000"/>
              </font>
              <fill>
                <patternFill>
                  <bgColor rgb="FFFFD966"/>
                </patternFill>
              </fill>
            </x14:dxf>
          </x14:cfRule>
          <xm:sqref>U15</xm:sqref>
        </x14:conditionalFormatting>
        <x14:conditionalFormatting xmlns:xm="http://schemas.microsoft.com/office/excel/2006/main">
          <x14:cfRule type="cellIs" priority="694" stopIfTrue="1" operator="greaterThan" id="{A3E2A2F7-DBBD-496A-8435-8E115520092C}">
            <xm:f>(1+Projekteinstellungen!$B$9)*1*40*Projekteinstellungen!$B$21</xm:f>
            <x14:dxf>
              <font>
                <color rgb="FF000000"/>
              </font>
              <fill>
                <patternFill>
                  <bgColor rgb="FFF55F5F"/>
                </patternFill>
              </fill>
            </x14:dxf>
          </x14:cfRule>
          <xm:sqref>W15</xm:sqref>
        </x14:conditionalFormatting>
        <x14:conditionalFormatting xmlns:xm="http://schemas.microsoft.com/office/excel/2006/main">
          <x14:cfRule type="cellIs" priority="695" stopIfTrue="1" operator="lessThan" id="{DBC56AFF-EA72-4A41-837A-41825B5EDDE7}">
            <xm:f>(1-Projekteinstellungen!$M$9)*1*40*Projekteinstellungen!$B$21</xm:f>
            <x14:dxf>
              <font>
                <color rgb="FF000000"/>
              </font>
              <fill>
                <patternFill>
                  <bgColor rgb="FFFFD966"/>
                </patternFill>
              </fill>
            </x14:dxf>
          </x14:cfRule>
          <xm:sqref>W15</xm:sqref>
        </x14:conditionalFormatting>
        <x14:conditionalFormatting xmlns:xm="http://schemas.microsoft.com/office/excel/2006/main">
          <x14:cfRule type="cellIs" priority="696" stopIfTrue="1" operator="greaterThan" id="{2302BDB4-53F2-4AE1-9077-433C1F223F42}">
            <xm:f>(1+Projekteinstellungen!$B$9)*1*40*Projekteinstellungen!$B$21</xm:f>
            <x14:dxf>
              <font>
                <color rgb="FF000000"/>
              </font>
              <fill>
                <patternFill>
                  <bgColor rgb="FFF55F5F"/>
                </patternFill>
              </fill>
            </x14:dxf>
          </x14:cfRule>
          <xm:sqref>S13</xm:sqref>
        </x14:conditionalFormatting>
        <x14:conditionalFormatting xmlns:xm="http://schemas.microsoft.com/office/excel/2006/main">
          <x14:cfRule type="cellIs" priority="697" stopIfTrue="1" operator="lessThan" id="{531196F9-6781-4BB5-A5BC-1F4C6439ECE6}">
            <xm:f>(1-Projekteinstellungen!$M$9)*1*40*Projekteinstellungen!$B$21</xm:f>
            <x14:dxf>
              <font>
                <color rgb="FF000000"/>
              </font>
              <fill>
                <patternFill>
                  <bgColor rgb="FFFFD966"/>
                </patternFill>
              </fill>
            </x14:dxf>
          </x14:cfRule>
          <xm:sqref>S13</xm:sqref>
        </x14:conditionalFormatting>
        <x14:conditionalFormatting xmlns:xm="http://schemas.microsoft.com/office/excel/2006/main">
          <x14:cfRule type="cellIs" priority="698" stopIfTrue="1" operator="greaterThan" id="{95062401-0D62-4C9C-9455-164D3C57D226}">
            <xm:f>(1+Projekteinstellungen!$B$9)*1*40*Projekteinstellungen!$B$21</xm:f>
            <x14:dxf>
              <font>
                <color rgb="FF000000"/>
              </font>
              <fill>
                <patternFill>
                  <bgColor rgb="FFF55F5F"/>
                </patternFill>
              </fill>
            </x14:dxf>
          </x14:cfRule>
          <xm:sqref>T13</xm:sqref>
        </x14:conditionalFormatting>
        <x14:conditionalFormatting xmlns:xm="http://schemas.microsoft.com/office/excel/2006/main">
          <x14:cfRule type="cellIs" priority="699" stopIfTrue="1" operator="lessThan" id="{D8C72758-F1CE-46F2-B5E6-7B9FF8205C5A}">
            <xm:f>(1-Projekteinstellungen!$M$9)*1*40*Projekteinstellungen!$B$21</xm:f>
            <x14:dxf>
              <font>
                <color rgb="FF000000"/>
              </font>
              <fill>
                <patternFill>
                  <bgColor rgb="FFFFD966"/>
                </patternFill>
              </fill>
            </x14:dxf>
          </x14:cfRule>
          <xm:sqref>T13</xm:sqref>
        </x14:conditionalFormatting>
        <x14:conditionalFormatting xmlns:xm="http://schemas.microsoft.com/office/excel/2006/main">
          <x14:cfRule type="cellIs" priority="700" stopIfTrue="1" operator="greaterThan" id="{A08968BE-3C53-4E8A-ADFB-5D81BF5DBFA0}">
            <xm:f>(1+Projekteinstellungen!$B$9)*1*40*Projekteinstellungen!$B$21</xm:f>
            <x14:dxf>
              <font>
                <color rgb="FF000000"/>
              </font>
              <fill>
                <patternFill>
                  <bgColor rgb="FFF55F5F"/>
                </patternFill>
              </fill>
            </x14:dxf>
          </x14:cfRule>
          <xm:sqref>U13</xm:sqref>
        </x14:conditionalFormatting>
        <x14:conditionalFormatting xmlns:xm="http://schemas.microsoft.com/office/excel/2006/main">
          <x14:cfRule type="cellIs" priority="701" stopIfTrue="1" operator="lessThan" id="{B3091F94-B0C2-44DF-B6EC-E6F370A7BE18}">
            <xm:f>(1-Projekteinstellungen!$M$9)*1*40*Projekteinstellungen!$B$21</xm:f>
            <x14:dxf>
              <font>
                <color rgb="FF000000"/>
              </font>
              <fill>
                <patternFill>
                  <bgColor rgb="FFFFD966"/>
                </patternFill>
              </fill>
            </x14:dxf>
          </x14:cfRule>
          <xm:sqref>U13</xm:sqref>
        </x14:conditionalFormatting>
        <x14:conditionalFormatting xmlns:xm="http://schemas.microsoft.com/office/excel/2006/main">
          <x14:cfRule type="cellIs" priority="702" stopIfTrue="1" operator="greaterThan" id="{D77B8DDB-02B8-4292-96BA-A31481E38371}">
            <xm:f>(1+Projekteinstellungen!$B$9)*1*40*Projekteinstellungen!$B$21</xm:f>
            <x14:dxf>
              <font>
                <color rgb="FF000000"/>
              </font>
              <fill>
                <patternFill>
                  <bgColor rgb="FFF55F5F"/>
                </patternFill>
              </fill>
            </x14:dxf>
          </x14:cfRule>
          <xm:sqref>V13</xm:sqref>
        </x14:conditionalFormatting>
        <x14:conditionalFormatting xmlns:xm="http://schemas.microsoft.com/office/excel/2006/main">
          <x14:cfRule type="cellIs" priority="703" stopIfTrue="1" operator="lessThan" id="{66B71227-598D-4268-8F07-0AE3B0CC4D76}">
            <xm:f>(1-Projekteinstellungen!$M$9)*1*40*Projekteinstellungen!$B$21</xm:f>
            <x14:dxf>
              <font>
                <color rgb="FF000000"/>
              </font>
              <fill>
                <patternFill>
                  <bgColor rgb="FFFFD966"/>
                </patternFill>
              </fill>
            </x14:dxf>
          </x14:cfRule>
          <xm:sqref>V13</xm:sqref>
        </x14:conditionalFormatting>
        <x14:conditionalFormatting xmlns:xm="http://schemas.microsoft.com/office/excel/2006/main">
          <x14:cfRule type="cellIs" priority="704" stopIfTrue="1" operator="greaterThan" id="{4B7FCBA0-6BEC-4249-A8BF-3F1980033906}">
            <xm:f>(1+Projekteinstellungen!$B$9)*1*40*Projekteinstellungen!$B$21</xm:f>
            <x14:dxf>
              <font>
                <color rgb="FF000000"/>
              </font>
              <fill>
                <patternFill>
                  <bgColor rgb="FFF55F5F"/>
                </patternFill>
              </fill>
            </x14:dxf>
          </x14:cfRule>
          <xm:sqref>W13</xm:sqref>
        </x14:conditionalFormatting>
        <x14:conditionalFormatting xmlns:xm="http://schemas.microsoft.com/office/excel/2006/main">
          <x14:cfRule type="cellIs" priority="705" stopIfTrue="1" operator="lessThan" id="{5B35B9F8-336C-4CC4-BD42-E7286FDD8A3D}">
            <xm:f>(1-Projekteinstellungen!$M$9)*1*40*Projekteinstellungen!$B$21</xm:f>
            <x14:dxf>
              <font>
                <color rgb="FF000000"/>
              </font>
              <fill>
                <patternFill>
                  <bgColor rgb="FFFFD966"/>
                </patternFill>
              </fill>
            </x14:dxf>
          </x14:cfRule>
          <xm:sqref>W13</xm:sqref>
        </x14:conditionalFormatting>
        <x14:conditionalFormatting xmlns:xm="http://schemas.microsoft.com/office/excel/2006/main">
          <x14:cfRule type="cellIs" priority="706" stopIfTrue="1" operator="greaterThan" id="{1CDB7159-6A5C-494D-AD09-3484E9DB7A0F}">
            <xm:f>(1+Projekteinstellungen!$B$9)*1*40*Projekteinstellungen!$B$21</xm:f>
            <x14:dxf>
              <font>
                <color rgb="FF000000"/>
              </font>
              <fill>
                <patternFill>
                  <bgColor rgb="FFF55F5F"/>
                </patternFill>
              </fill>
            </x14:dxf>
          </x14:cfRule>
          <xm:sqref>T12</xm:sqref>
        </x14:conditionalFormatting>
        <x14:conditionalFormatting xmlns:xm="http://schemas.microsoft.com/office/excel/2006/main">
          <x14:cfRule type="cellIs" priority="707" stopIfTrue="1" operator="lessThan" id="{1492FE58-FB5A-4057-92FB-C6DA22EDA71B}">
            <xm:f>(1-Projekteinstellungen!$M$9)*1*40*Projekteinstellungen!$B$21</xm:f>
            <x14:dxf>
              <font>
                <color rgb="FF000000"/>
              </font>
              <fill>
                <patternFill>
                  <bgColor rgb="FFFFD966"/>
                </patternFill>
              </fill>
            </x14:dxf>
          </x14:cfRule>
          <xm:sqref>T12</xm:sqref>
        </x14:conditionalFormatting>
        <x14:conditionalFormatting xmlns:xm="http://schemas.microsoft.com/office/excel/2006/main">
          <x14:cfRule type="cellIs" priority="708" stopIfTrue="1" operator="greaterThan" id="{B79340F2-F493-4945-AFB9-4B420C91CF35}">
            <xm:f>(1+Projekteinstellungen!$B$9)*1*40*Projekteinstellungen!$B$21</xm:f>
            <x14:dxf>
              <font>
                <color rgb="FF000000"/>
              </font>
              <fill>
                <patternFill>
                  <bgColor rgb="FFF55F5F"/>
                </patternFill>
              </fill>
            </x14:dxf>
          </x14:cfRule>
          <xm:sqref>U12</xm:sqref>
        </x14:conditionalFormatting>
        <x14:conditionalFormatting xmlns:xm="http://schemas.microsoft.com/office/excel/2006/main">
          <x14:cfRule type="cellIs" priority="709" stopIfTrue="1" operator="lessThan" id="{B880705C-CCE5-4857-A18C-4BC67ABFCD79}">
            <xm:f>(1-Projekteinstellungen!$M$9)*1*40*Projekteinstellungen!$B$21</xm:f>
            <x14:dxf>
              <font>
                <color rgb="FF000000"/>
              </font>
              <fill>
                <patternFill>
                  <bgColor rgb="FFFFD966"/>
                </patternFill>
              </fill>
            </x14:dxf>
          </x14:cfRule>
          <xm:sqref>U12</xm:sqref>
        </x14:conditionalFormatting>
        <x14:conditionalFormatting xmlns:xm="http://schemas.microsoft.com/office/excel/2006/main">
          <x14:cfRule type="cellIs" priority="710" stopIfTrue="1" operator="greaterThan" id="{15344CC3-E0F7-4ED2-8F75-FA98BD5F3166}">
            <xm:f>(1+Projekteinstellungen!$B$9)*1*40*Projekteinstellungen!$B$21</xm:f>
            <x14:dxf>
              <font>
                <color rgb="FF000000"/>
              </font>
              <fill>
                <patternFill>
                  <bgColor rgb="FFF55F5F"/>
                </patternFill>
              </fill>
            </x14:dxf>
          </x14:cfRule>
          <xm:sqref>V12</xm:sqref>
        </x14:conditionalFormatting>
        <x14:conditionalFormatting xmlns:xm="http://schemas.microsoft.com/office/excel/2006/main">
          <x14:cfRule type="cellIs" priority="711" stopIfTrue="1" operator="lessThan" id="{15208788-0E7A-45F3-91FC-A44BA2364F78}">
            <xm:f>(1-Projekteinstellungen!$M$9)*1*40*Projekteinstellungen!$B$21</xm:f>
            <x14:dxf>
              <font>
                <color rgb="FF000000"/>
              </font>
              <fill>
                <patternFill>
                  <bgColor rgb="FFFFD966"/>
                </patternFill>
              </fill>
            </x14:dxf>
          </x14:cfRule>
          <xm:sqref>V12</xm:sqref>
        </x14:conditionalFormatting>
        <x14:conditionalFormatting xmlns:xm="http://schemas.microsoft.com/office/excel/2006/main">
          <x14:cfRule type="cellIs" priority="712" stopIfTrue="1" operator="greaterThan" id="{1365A27E-D4EC-4885-A93A-BED65FBBCC51}">
            <xm:f>(1+Projekteinstellungen!$B$9)*1*40*Projekteinstellungen!$B$21</xm:f>
            <x14:dxf>
              <font>
                <color rgb="FF000000"/>
              </font>
              <fill>
                <patternFill>
                  <bgColor rgb="FFF55F5F"/>
                </patternFill>
              </fill>
            </x14:dxf>
          </x14:cfRule>
          <xm:sqref>W12</xm:sqref>
        </x14:conditionalFormatting>
        <x14:conditionalFormatting xmlns:xm="http://schemas.microsoft.com/office/excel/2006/main">
          <x14:cfRule type="cellIs" priority="713" stopIfTrue="1" operator="lessThan" id="{0D67DC59-5F35-4D8F-881C-957CF90114BE}">
            <xm:f>(1-Projekteinstellungen!$M$9)*1*40*Projekteinstellungen!$B$21</xm:f>
            <x14:dxf>
              <font>
                <color rgb="FF000000"/>
              </font>
              <fill>
                <patternFill>
                  <bgColor rgb="FFFFD966"/>
                </patternFill>
              </fill>
            </x14:dxf>
          </x14:cfRule>
          <xm:sqref>W12</xm:sqref>
        </x14:conditionalFormatting>
        <x14:conditionalFormatting xmlns:xm="http://schemas.microsoft.com/office/excel/2006/main">
          <x14:cfRule type="cellIs" priority="714" stopIfTrue="1" operator="greaterThan" id="{080ED995-C849-4289-A46D-51F3C7B2EABC}">
            <xm:f>(1+Projekteinstellungen!$B$9)*1*40*Projekteinstellungen!$B$21</xm:f>
            <x14:dxf>
              <font>
                <color rgb="FF000000"/>
              </font>
              <fill>
                <patternFill>
                  <bgColor rgb="FFF55F5F"/>
                </patternFill>
              </fill>
            </x14:dxf>
          </x14:cfRule>
          <xm:sqref>S11</xm:sqref>
        </x14:conditionalFormatting>
        <x14:conditionalFormatting xmlns:xm="http://schemas.microsoft.com/office/excel/2006/main">
          <x14:cfRule type="cellIs" priority="715" stopIfTrue="1" operator="lessThan" id="{02BC3D03-8008-4E43-A225-FE0884756303}">
            <xm:f>(1-Projekteinstellungen!$M$9)*1*40*Projekteinstellungen!$B$21</xm:f>
            <x14:dxf>
              <font>
                <color rgb="FF000000"/>
              </font>
              <fill>
                <patternFill>
                  <bgColor rgb="FFFFD966"/>
                </patternFill>
              </fill>
            </x14:dxf>
          </x14:cfRule>
          <xm:sqref>S11</xm:sqref>
        </x14:conditionalFormatting>
        <x14:conditionalFormatting xmlns:xm="http://schemas.microsoft.com/office/excel/2006/main">
          <x14:cfRule type="cellIs" priority="716" stopIfTrue="1" operator="greaterThan" id="{EC64D9AD-8A06-42F6-AC4A-26CA2276F3F7}">
            <xm:f>(1+Projekteinstellungen!$B$9)*1*40*Projekteinstellungen!$B$21</xm:f>
            <x14:dxf>
              <font>
                <color rgb="FF000000"/>
              </font>
              <fill>
                <patternFill>
                  <bgColor rgb="FFF55F5F"/>
                </patternFill>
              </fill>
            </x14:dxf>
          </x14:cfRule>
          <xm:sqref>T11</xm:sqref>
        </x14:conditionalFormatting>
        <x14:conditionalFormatting xmlns:xm="http://schemas.microsoft.com/office/excel/2006/main">
          <x14:cfRule type="cellIs" priority="717" stopIfTrue="1" operator="lessThan" id="{0CB1DF03-B7E5-484B-AB3B-2EEC228796E6}">
            <xm:f>(1-Projekteinstellungen!$M$9)*1*40*Projekteinstellungen!$B$21</xm:f>
            <x14:dxf>
              <font>
                <color rgb="FF000000"/>
              </font>
              <fill>
                <patternFill>
                  <bgColor rgb="FFFFD966"/>
                </patternFill>
              </fill>
            </x14:dxf>
          </x14:cfRule>
          <xm:sqref>T11</xm:sqref>
        </x14:conditionalFormatting>
        <x14:conditionalFormatting xmlns:xm="http://schemas.microsoft.com/office/excel/2006/main">
          <x14:cfRule type="cellIs" priority="718" stopIfTrue="1" operator="greaterThan" id="{A8022BE6-2F57-4779-BDF1-F8BCE7F679A1}">
            <xm:f>(1+Projekteinstellungen!$B$9)*1*40*Projekteinstellungen!$B$21</xm:f>
            <x14:dxf>
              <font>
                <color rgb="FF000000"/>
              </font>
              <fill>
                <patternFill>
                  <bgColor rgb="FFF55F5F"/>
                </patternFill>
              </fill>
            </x14:dxf>
          </x14:cfRule>
          <xm:sqref>U11</xm:sqref>
        </x14:conditionalFormatting>
        <x14:conditionalFormatting xmlns:xm="http://schemas.microsoft.com/office/excel/2006/main">
          <x14:cfRule type="cellIs" priority="719" stopIfTrue="1" operator="lessThan" id="{5082CA16-4765-4D02-A05F-733A3BDFD5C9}">
            <xm:f>(1-Projekteinstellungen!$M$9)*1*40*Projekteinstellungen!$B$21</xm:f>
            <x14:dxf>
              <font>
                <color rgb="FF000000"/>
              </font>
              <fill>
                <patternFill>
                  <bgColor rgb="FFFFD966"/>
                </patternFill>
              </fill>
            </x14:dxf>
          </x14:cfRule>
          <xm:sqref>U11</xm:sqref>
        </x14:conditionalFormatting>
        <x14:conditionalFormatting xmlns:xm="http://schemas.microsoft.com/office/excel/2006/main">
          <x14:cfRule type="cellIs" priority="720" stopIfTrue="1" operator="greaterThan" id="{9E0D49A3-8895-4EBB-B512-0D0BDFD205D2}">
            <xm:f>(1+Projekteinstellungen!$B$9)*1*40*Projekteinstellungen!$B$21</xm:f>
            <x14:dxf>
              <font>
                <color rgb="FF000000"/>
              </font>
              <fill>
                <patternFill>
                  <bgColor rgb="FFF55F5F"/>
                </patternFill>
              </fill>
            </x14:dxf>
          </x14:cfRule>
          <xm:sqref>V11</xm:sqref>
        </x14:conditionalFormatting>
        <x14:conditionalFormatting xmlns:xm="http://schemas.microsoft.com/office/excel/2006/main">
          <x14:cfRule type="cellIs" priority="721" stopIfTrue="1" operator="lessThan" id="{D1A82869-C470-43D4-8AA5-D02A3E557888}">
            <xm:f>(1-Projekteinstellungen!$M$9)*1*40*Projekteinstellungen!$B$21</xm:f>
            <x14:dxf>
              <font>
                <color rgb="FF000000"/>
              </font>
              <fill>
                <patternFill>
                  <bgColor rgb="FFFFD966"/>
                </patternFill>
              </fill>
            </x14:dxf>
          </x14:cfRule>
          <xm:sqref>V11</xm:sqref>
        </x14:conditionalFormatting>
        <x14:conditionalFormatting xmlns:xm="http://schemas.microsoft.com/office/excel/2006/main">
          <x14:cfRule type="cellIs" priority="722" stopIfTrue="1" operator="greaterThan" id="{30B14C10-318E-484F-AA04-DAE139FD7901}">
            <xm:f>(1+Projekteinstellungen!$B$9)*1*40*Projekteinstellungen!$B$21</xm:f>
            <x14:dxf>
              <font>
                <color rgb="FF000000"/>
              </font>
              <fill>
                <patternFill>
                  <bgColor rgb="FFF55F5F"/>
                </patternFill>
              </fill>
            </x14:dxf>
          </x14:cfRule>
          <xm:sqref>W11</xm:sqref>
        </x14:conditionalFormatting>
        <x14:conditionalFormatting xmlns:xm="http://schemas.microsoft.com/office/excel/2006/main">
          <x14:cfRule type="cellIs" priority="723" stopIfTrue="1" operator="lessThan" id="{60BB4E7B-A6D2-42D3-B4B9-778C3721E78A}">
            <xm:f>(1-Projekteinstellungen!$M$9)*1*40*Projekteinstellungen!$B$21</xm:f>
            <x14:dxf>
              <font>
                <color rgb="FF000000"/>
              </font>
              <fill>
                <patternFill>
                  <bgColor rgb="FFFFD966"/>
                </patternFill>
              </fill>
            </x14:dxf>
          </x14:cfRule>
          <xm:sqref>W11</xm:sqref>
        </x14:conditionalFormatting>
        <x14:conditionalFormatting xmlns:xm="http://schemas.microsoft.com/office/excel/2006/main">
          <x14:cfRule type="cellIs" priority="724" stopIfTrue="1" operator="greaterThan" id="{355445C8-0D46-4195-B8BC-B55F6106C4E3}">
            <xm:f>(1+Projekteinstellungen!$B$9)*1*40*Projekteinstellungen!$B$21</xm:f>
            <x14:dxf>
              <font>
                <color rgb="FF000000"/>
              </font>
              <fill>
                <patternFill>
                  <bgColor rgb="FFF55F5F"/>
                </patternFill>
              </fill>
            </x14:dxf>
          </x14:cfRule>
          <xm:sqref>S10</xm:sqref>
        </x14:conditionalFormatting>
        <x14:conditionalFormatting xmlns:xm="http://schemas.microsoft.com/office/excel/2006/main">
          <x14:cfRule type="cellIs" priority="725" stopIfTrue="1" operator="lessThan" id="{0A40E9C1-3305-45AD-B5A3-D7187F2F2CCE}">
            <xm:f>(1-Projekteinstellungen!$M$9)*1*40*Projekteinstellungen!$B$21</xm:f>
            <x14:dxf>
              <font>
                <color rgb="FF000000"/>
              </font>
              <fill>
                <patternFill>
                  <bgColor rgb="FFFFD966"/>
                </patternFill>
              </fill>
            </x14:dxf>
          </x14:cfRule>
          <xm:sqref>S10</xm:sqref>
        </x14:conditionalFormatting>
        <x14:conditionalFormatting xmlns:xm="http://schemas.microsoft.com/office/excel/2006/main">
          <x14:cfRule type="cellIs" priority="726" stopIfTrue="1" operator="greaterThan" id="{89EA0C49-2E8E-4A36-95D4-902F840DD27F}">
            <xm:f>(1+Projekteinstellungen!$B$9)*1*40*Projekteinstellungen!$B$21</xm:f>
            <x14:dxf>
              <font>
                <color rgb="FF000000"/>
              </font>
              <fill>
                <patternFill>
                  <bgColor rgb="FFF55F5F"/>
                </patternFill>
              </fill>
            </x14:dxf>
          </x14:cfRule>
          <xm:sqref>T10</xm:sqref>
        </x14:conditionalFormatting>
        <x14:conditionalFormatting xmlns:xm="http://schemas.microsoft.com/office/excel/2006/main">
          <x14:cfRule type="cellIs" priority="727" stopIfTrue="1" operator="lessThan" id="{1D8D274F-7A78-4FC9-9775-F9D932B814D0}">
            <xm:f>(1-Projekteinstellungen!$M$9)*1*40*Projekteinstellungen!$B$21</xm:f>
            <x14:dxf>
              <font>
                <color rgb="FF000000"/>
              </font>
              <fill>
                <patternFill>
                  <bgColor rgb="FFFFD966"/>
                </patternFill>
              </fill>
            </x14:dxf>
          </x14:cfRule>
          <xm:sqref>T10</xm:sqref>
        </x14:conditionalFormatting>
        <x14:conditionalFormatting xmlns:xm="http://schemas.microsoft.com/office/excel/2006/main">
          <x14:cfRule type="cellIs" priority="728" stopIfTrue="1" operator="greaterThan" id="{A4EE1D68-BEAB-4EA5-A61E-487B7109917B}">
            <xm:f>(1+Projekteinstellungen!$B$9)*1*40*Projekteinstellungen!$B$21</xm:f>
            <x14:dxf>
              <font>
                <color rgb="FF000000"/>
              </font>
              <fill>
                <patternFill>
                  <bgColor rgb="FFF55F5F"/>
                </patternFill>
              </fill>
            </x14:dxf>
          </x14:cfRule>
          <xm:sqref>U10</xm:sqref>
        </x14:conditionalFormatting>
        <x14:conditionalFormatting xmlns:xm="http://schemas.microsoft.com/office/excel/2006/main">
          <x14:cfRule type="cellIs" priority="729" stopIfTrue="1" operator="lessThan" id="{7CBA250A-B662-4CB9-BC28-D692CBEFB655}">
            <xm:f>(1-Projekteinstellungen!$M$9)*1*40*Projekteinstellungen!$B$21</xm:f>
            <x14:dxf>
              <font>
                <color rgb="FF000000"/>
              </font>
              <fill>
                <patternFill>
                  <bgColor rgb="FFFFD966"/>
                </patternFill>
              </fill>
            </x14:dxf>
          </x14:cfRule>
          <xm:sqref>U10</xm:sqref>
        </x14:conditionalFormatting>
        <x14:conditionalFormatting xmlns:xm="http://schemas.microsoft.com/office/excel/2006/main">
          <x14:cfRule type="cellIs" priority="730" stopIfTrue="1" operator="greaterThan" id="{B489E553-DF71-4D47-96ED-19318A581351}">
            <xm:f>(1+Projekteinstellungen!$B$9)*1*40*Projekteinstellungen!$B$21</xm:f>
            <x14:dxf>
              <font>
                <color rgb="FF000000"/>
              </font>
              <fill>
                <patternFill>
                  <bgColor rgb="FFF55F5F"/>
                </patternFill>
              </fill>
            </x14:dxf>
          </x14:cfRule>
          <xm:sqref>V10</xm:sqref>
        </x14:conditionalFormatting>
        <x14:conditionalFormatting xmlns:xm="http://schemas.microsoft.com/office/excel/2006/main">
          <x14:cfRule type="cellIs" priority="731" stopIfTrue="1" operator="lessThan" id="{23A85319-FDF8-4D87-8583-F8CEF6A83CD7}">
            <xm:f>(1-Projekteinstellungen!$M$9)*1*40*Projekteinstellungen!$B$21</xm:f>
            <x14:dxf>
              <font>
                <color rgb="FF000000"/>
              </font>
              <fill>
                <patternFill>
                  <bgColor rgb="FFFFD966"/>
                </patternFill>
              </fill>
            </x14:dxf>
          </x14:cfRule>
          <xm:sqref>V10</xm:sqref>
        </x14:conditionalFormatting>
        <x14:conditionalFormatting xmlns:xm="http://schemas.microsoft.com/office/excel/2006/main">
          <x14:cfRule type="cellIs" priority="732" stopIfTrue="1" operator="greaterThan" id="{AB50A548-5F08-496E-B093-96F28655D7E0}">
            <xm:f>(1+Projekteinstellungen!$B$9)*1*40*Projekteinstellungen!$B$21</xm:f>
            <x14:dxf>
              <font>
                <color rgb="FF000000"/>
              </font>
              <fill>
                <patternFill>
                  <bgColor rgb="FFF55F5F"/>
                </patternFill>
              </fill>
            </x14:dxf>
          </x14:cfRule>
          <xm:sqref>W10</xm:sqref>
        </x14:conditionalFormatting>
        <x14:conditionalFormatting xmlns:xm="http://schemas.microsoft.com/office/excel/2006/main">
          <x14:cfRule type="cellIs" priority="733" stopIfTrue="1" operator="lessThan" id="{B4949CE7-0101-4D7D-A376-E12EF16CFE9B}">
            <xm:f>(1-Projekteinstellungen!$M$9)*1*40*Projekteinstellungen!$B$21</xm:f>
            <x14:dxf>
              <font>
                <color rgb="FF000000"/>
              </font>
              <fill>
                <patternFill>
                  <bgColor rgb="FFFFD966"/>
                </patternFill>
              </fill>
            </x14:dxf>
          </x14:cfRule>
          <xm:sqref>W10</xm:sqref>
        </x14:conditionalFormatting>
        <x14:conditionalFormatting xmlns:xm="http://schemas.microsoft.com/office/excel/2006/main">
          <x14:cfRule type="cellIs" priority="734" stopIfTrue="1" operator="greaterThan" id="{22A51C6A-BE04-4633-956C-39F8F11FE351}">
            <xm:f>(1+Projekteinstellungen!$B$9)*0.5*40*Projekteinstellungen!$B$21</xm:f>
            <x14:dxf>
              <font>
                <color rgb="FF000000"/>
              </font>
              <fill>
                <patternFill>
                  <bgColor rgb="FFF55F5F"/>
                </patternFill>
              </fill>
            </x14:dxf>
          </x14:cfRule>
          <xm:sqref>S9</xm:sqref>
        </x14:conditionalFormatting>
        <x14:conditionalFormatting xmlns:xm="http://schemas.microsoft.com/office/excel/2006/main">
          <x14:cfRule type="cellIs" priority="735" stopIfTrue="1" operator="lessThan" id="{75DF397C-03F3-4A03-B742-01FD57556152}">
            <xm:f>(1-Projekteinstellungen!$M$9)*0.5*40*Projekteinstellungen!$B$21</xm:f>
            <x14:dxf>
              <font>
                <color rgb="FF000000"/>
              </font>
              <fill>
                <patternFill>
                  <bgColor rgb="FFFFD966"/>
                </patternFill>
              </fill>
            </x14:dxf>
          </x14:cfRule>
          <xm:sqref>S9</xm:sqref>
        </x14:conditionalFormatting>
        <x14:conditionalFormatting xmlns:xm="http://schemas.microsoft.com/office/excel/2006/main">
          <x14:cfRule type="cellIs" priority="736" stopIfTrue="1" operator="greaterThan" id="{B2B43D15-161F-4A18-A64E-2C8E4279F9CC}">
            <xm:f>(1+Projekteinstellungen!$B$9)*0.35*40*Projekteinstellungen!$B$21</xm:f>
            <x14:dxf>
              <font>
                <color rgb="FF000000"/>
              </font>
              <fill>
                <patternFill>
                  <bgColor rgb="FFF55F5F"/>
                </patternFill>
              </fill>
            </x14:dxf>
          </x14:cfRule>
          <xm:sqref>T9</xm:sqref>
        </x14:conditionalFormatting>
        <x14:conditionalFormatting xmlns:xm="http://schemas.microsoft.com/office/excel/2006/main">
          <x14:cfRule type="cellIs" priority="737" stopIfTrue="1" operator="lessThan" id="{CF5A84A2-1609-441E-92E1-6DF47DC1DAE3}">
            <xm:f>(1-Projekteinstellungen!$M$9)*0.35*40*Projekteinstellungen!$B$21</xm:f>
            <x14:dxf>
              <font>
                <color rgb="FF000000"/>
              </font>
              <fill>
                <patternFill>
                  <bgColor rgb="FFFFD966"/>
                </patternFill>
              </fill>
            </x14:dxf>
          </x14:cfRule>
          <xm:sqref>T9</xm:sqref>
        </x14:conditionalFormatting>
        <x14:conditionalFormatting xmlns:xm="http://schemas.microsoft.com/office/excel/2006/main">
          <x14:cfRule type="cellIs" priority="738" stopIfTrue="1" operator="greaterThan" id="{38C1FA1D-E8B8-49BE-AA43-B31DE924435E}">
            <xm:f>(1+Projekteinstellungen!$B$9)*0.35*40*Projekteinstellungen!$B$21</xm:f>
            <x14:dxf>
              <font>
                <color rgb="FF000000"/>
              </font>
              <fill>
                <patternFill>
                  <bgColor rgb="FFF55F5F"/>
                </patternFill>
              </fill>
            </x14:dxf>
          </x14:cfRule>
          <xm:sqref>U9</xm:sqref>
        </x14:conditionalFormatting>
        <x14:conditionalFormatting xmlns:xm="http://schemas.microsoft.com/office/excel/2006/main">
          <x14:cfRule type="cellIs" priority="739" stopIfTrue="1" operator="lessThan" id="{157728B4-C6EA-446F-9153-49F3F85544CE}">
            <xm:f>(1-Projekteinstellungen!$M$9)*0.35*40*Projekteinstellungen!$B$21</xm:f>
            <x14:dxf>
              <font>
                <color rgb="FF000000"/>
              </font>
              <fill>
                <patternFill>
                  <bgColor rgb="FFFFD966"/>
                </patternFill>
              </fill>
            </x14:dxf>
          </x14:cfRule>
          <xm:sqref>U9</xm:sqref>
        </x14:conditionalFormatting>
        <x14:conditionalFormatting xmlns:xm="http://schemas.microsoft.com/office/excel/2006/main">
          <x14:cfRule type="cellIs" priority="740" stopIfTrue="1" operator="greaterThan" id="{D0B86CD6-EC80-4F39-8C53-6BBC09D3F030}">
            <xm:f>(1+Projekteinstellungen!$B$9)*0.35*40*Projekteinstellungen!$B$21</xm:f>
            <x14:dxf>
              <font>
                <color rgb="FF000000"/>
              </font>
              <fill>
                <patternFill>
                  <bgColor rgb="FFF55F5F"/>
                </patternFill>
              </fill>
            </x14:dxf>
          </x14:cfRule>
          <xm:sqref>V9</xm:sqref>
        </x14:conditionalFormatting>
        <x14:conditionalFormatting xmlns:xm="http://schemas.microsoft.com/office/excel/2006/main">
          <x14:cfRule type="cellIs" priority="741" stopIfTrue="1" operator="lessThan" id="{AC82D7A5-D960-48B2-96B5-8505457C9B8C}">
            <xm:f>(1-Projekteinstellungen!$M$9)*0.35*40*Projekteinstellungen!$B$21</xm:f>
            <x14:dxf>
              <font>
                <color rgb="FF000000"/>
              </font>
              <fill>
                <patternFill>
                  <bgColor rgb="FFFFD966"/>
                </patternFill>
              </fill>
            </x14:dxf>
          </x14:cfRule>
          <xm:sqref>V9</xm:sqref>
        </x14:conditionalFormatting>
        <x14:conditionalFormatting xmlns:xm="http://schemas.microsoft.com/office/excel/2006/main">
          <x14:cfRule type="cellIs" priority="742" stopIfTrue="1" operator="greaterThan" id="{52AD8462-49AD-4F62-A824-A3E571DCA164}">
            <xm:f>(1+Projekteinstellungen!$B$9)*1*40*Projekteinstellungen!$B$21</xm:f>
            <x14:dxf>
              <font>
                <color rgb="FF000000"/>
              </font>
              <fill>
                <patternFill>
                  <bgColor rgb="FFF55F5F"/>
                </patternFill>
              </fill>
            </x14:dxf>
          </x14:cfRule>
          <x14:cfRule type="cellIs" priority="743" stopIfTrue="1" operator="lessThan" id="{610C9C19-C6A0-47AC-8383-990B58596EFD}">
            <xm:f>(1-Projekteinstellungen!$M$9)*1*40*Projekteinstellungen!$B$21</xm:f>
            <x14:dxf>
              <font>
                <color rgb="FF000000"/>
              </font>
              <fill>
                <patternFill>
                  <bgColor rgb="FFFFD966"/>
                </patternFill>
              </fill>
            </x14:dxf>
          </x14:cfRule>
          <xm:sqref>S8</xm:sqref>
        </x14:conditionalFormatting>
        <x14:conditionalFormatting xmlns:xm="http://schemas.microsoft.com/office/excel/2006/main">
          <x14:cfRule type="cellIs" priority="744" stopIfTrue="1" operator="greaterThan" id="{B4B638A5-F390-41FC-806F-82428F80510D}">
            <xm:f>(1+Projekteinstellungen!$B$9)*1*40*Projekteinstellungen!$B$21</xm:f>
            <x14:dxf>
              <font>
                <color rgb="FF000000"/>
              </font>
              <fill>
                <patternFill>
                  <bgColor rgb="FFF55F5F"/>
                </patternFill>
              </fill>
            </x14:dxf>
          </x14:cfRule>
          <x14:cfRule type="cellIs" priority="745" stopIfTrue="1" operator="lessThan" id="{3B97A587-2F15-4E1C-9D68-C03114AB7ADA}">
            <xm:f>(1-Projekteinstellungen!$M$9)*1*40*Projekteinstellungen!$B$21</xm:f>
            <x14:dxf>
              <font>
                <color rgb="FF000000"/>
              </font>
              <fill>
                <patternFill>
                  <bgColor rgb="FFFFD966"/>
                </patternFill>
              </fill>
            </x14:dxf>
          </x14:cfRule>
          <xm:sqref>T8</xm:sqref>
        </x14:conditionalFormatting>
        <x14:conditionalFormatting xmlns:xm="http://schemas.microsoft.com/office/excel/2006/main">
          <x14:cfRule type="cellIs" priority="746" stopIfTrue="1" operator="greaterThan" id="{1A67805A-205A-4967-8202-19223C54C516}">
            <xm:f>(1+Projekteinstellungen!$B$9)*1*40*Projekteinstellungen!$B$21</xm:f>
            <x14:dxf>
              <font>
                <color rgb="FF000000"/>
              </font>
              <fill>
                <patternFill>
                  <bgColor rgb="FFF55F5F"/>
                </patternFill>
              </fill>
            </x14:dxf>
          </x14:cfRule>
          <xm:sqref>V8</xm:sqref>
        </x14:conditionalFormatting>
        <x14:conditionalFormatting xmlns:xm="http://schemas.microsoft.com/office/excel/2006/main">
          <x14:cfRule type="cellIs" priority="747" stopIfTrue="1" operator="lessThan" id="{7BA19C3F-5D65-4208-97F0-4BD9C24D4591}">
            <xm:f>(1-Projekteinstellungen!$M$9)*1*40*Projekteinstellungen!$B$21</xm:f>
            <x14:dxf>
              <font>
                <color rgb="FF000000"/>
              </font>
              <fill>
                <patternFill>
                  <bgColor rgb="FFFFD966"/>
                </patternFill>
              </fill>
            </x14:dxf>
          </x14:cfRule>
          <xm:sqref>V8</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D3362-BE4B-4FEF-9E4B-34E2BF040C12}">
  <sheetPr codeName="Tabelle9">
    <outlinePr summaryBelow="0"/>
  </sheetPr>
  <dimension ref="A1:AC32"/>
  <sheetViews>
    <sheetView zoomScale="85" zoomScaleNormal="85" workbookViewId="0">
      <pane ySplit="6" topLeftCell="A7" activePane="bottomLeft" state="frozen"/>
      <selection pane="bottomLeft" activeCell="F29" sqref="F29"/>
    </sheetView>
  </sheetViews>
  <sheetFormatPr baseColWidth="10" defaultRowHeight="15" customHeight="1" outlineLevelRow="1" outlineLevelCol="1"/>
  <cols>
    <col min="1" max="1" width="2.7109375" style="267" customWidth="1"/>
    <col min="2" max="2" width="2" style="11" customWidth="1"/>
    <col min="3" max="3" width="1" style="11" customWidth="1"/>
    <col min="4" max="4" width="7.28515625" style="11" customWidth="1" collapsed="1"/>
    <col min="5" max="5" width="8.140625" style="11" hidden="1" customWidth="1" outlineLevel="1"/>
    <col min="6" max="6" width="39.42578125" style="11" customWidth="1" collapsed="1"/>
    <col min="7" max="7" width="39.42578125" style="11" customWidth="1"/>
    <col min="8" max="8" width="33.140625" style="11" customWidth="1"/>
    <col min="9" max="9" width="2.5703125" style="17" hidden="1" customWidth="1" outlineLevel="1"/>
    <col min="10" max="10" width="12.85546875" style="146" hidden="1" customWidth="1" outlineLevel="1"/>
    <col min="11" max="11" width="13.7109375" style="11" hidden="1" customWidth="1" outlineLevel="1"/>
    <col min="12" max="12" width="12.85546875" style="17" customWidth="1" collapsed="1"/>
    <col min="13" max="13" width="12.7109375" style="11" customWidth="1"/>
    <col min="14" max="14" width="11.7109375" style="11" customWidth="1" collapsed="1"/>
    <col min="15" max="15" width="13.7109375" style="11" hidden="1" customWidth="1" outlineLevel="1"/>
    <col min="16" max="16" width="13.7109375" style="11" customWidth="1" collapsed="1"/>
    <col min="17" max="17" width="7.7109375" style="11" customWidth="1"/>
    <col min="18" max="20" width="11.7109375" style="11" customWidth="1"/>
    <col min="21" max="21" width="5" style="11" customWidth="1"/>
    <col min="22" max="23" width="9.42578125" style="11" customWidth="1"/>
    <col min="24" max="24" width="14.85546875" style="17" hidden="1" customWidth="1"/>
    <col min="25" max="25" width="11.42578125" style="17" hidden="1" customWidth="1"/>
    <col min="26" max="28" width="11.42578125" style="11" hidden="1" customWidth="1"/>
    <col min="29" max="16384" width="11.42578125" style="11"/>
  </cols>
  <sheetData>
    <row r="1" spans="1:29" s="12" customFormat="1" ht="29.45" customHeight="1">
      <c r="A1" s="431" t="s">
        <v>131</v>
      </c>
      <c r="B1" s="94"/>
      <c r="D1" s="9"/>
      <c r="E1" s="10" t="s">
        <v>137</v>
      </c>
      <c r="F1" s="10" t="s">
        <v>163</v>
      </c>
      <c r="G1" s="10" t="s">
        <v>39</v>
      </c>
      <c r="H1" s="10" t="s">
        <v>19</v>
      </c>
      <c r="I1" s="447" t="s">
        <v>164</v>
      </c>
      <c r="J1" s="448"/>
      <c r="K1" s="448"/>
      <c r="L1" s="448"/>
      <c r="M1" s="449"/>
      <c r="N1" s="10" t="s">
        <v>20</v>
      </c>
      <c r="O1" s="448" t="s">
        <v>13</v>
      </c>
      <c r="P1" s="449"/>
      <c r="Q1" s="117"/>
      <c r="R1" s="447" t="s">
        <v>134</v>
      </c>
      <c r="S1" s="449"/>
      <c r="T1" s="119"/>
      <c r="U1" s="118"/>
      <c r="V1" s="447" t="s">
        <v>14</v>
      </c>
      <c r="W1" s="448"/>
      <c r="X1" s="443" t="s">
        <v>47</v>
      </c>
      <c r="Y1" s="443"/>
      <c r="Z1" s="443" t="s">
        <v>100</v>
      </c>
      <c r="AA1" s="443"/>
      <c r="AB1" s="443"/>
      <c r="AC1" s="97"/>
    </row>
    <row r="2" spans="1:29" ht="17.25" customHeight="1" collapsed="1">
      <c r="A2" s="446"/>
      <c r="B2" s="94"/>
      <c r="D2" s="175"/>
      <c r="E2" s="176"/>
      <c r="F2" s="176"/>
      <c r="G2" s="176"/>
      <c r="H2" s="132"/>
      <c r="I2" s="124" t="s">
        <v>142</v>
      </c>
      <c r="J2" s="177" t="s">
        <v>141</v>
      </c>
      <c r="K2" s="178"/>
      <c r="L2" s="177" t="s">
        <v>38</v>
      </c>
      <c r="M2" s="124" t="s">
        <v>88</v>
      </c>
      <c r="N2" s="124"/>
      <c r="O2" s="124" t="s">
        <v>127</v>
      </c>
      <c r="P2" s="124" t="s">
        <v>151</v>
      </c>
      <c r="Q2" s="126"/>
      <c r="R2" s="127" t="s">
        <v>11</v>
      </c>
      <c r="S2" s="127" t="s">
        <v>12</v>
      </c>
      <c r="T2" s="127" t="s">
        <v>13</v>
      </c>
      <c r="U2" s="150"/>
      <c r="V2" s="444"/>
      <c r="W2" s="445"/>
      <c r="X2" s="16" t="s">
        <v>11</v>
      </c>
      <c r="Y2" s="17" t="s">
        <v>48</v>
      </c>
      <c r="Z2" s="17" t="str">
        <f>Pos_Hilfstabelle!$B$125</f>
        <v>on track</v>
      </c>
      <c r="AA2" s="17" t="str">
        <f>Pos_Hilfstabelle!$B$126</f>
        <v>critical</v>
      </c>
      <c r="AB2" s="17" t="str">
        <f>Pos_Hilfstabelle!$B$127</f>
        <v>overdue</v>
      </c>
    </row>
    <row r="3" spans="1:29" ht="19.5" hidden="1" customHeight="1" outlineLevel="1">
      <c r="A3" s="446"/>
      <c r="B3" s="94"/>
      <c r="D3" s="147"/>
      <c r="E3" s="147"/>
      <c r="F3" s="148"/>
      <c r="G3" s="148"/>
      <c r="H3" s="261"/>
      <c r="I3" s="259"/>
      <c r="J3" s="258"/>
      <c r="K3" s="237"/>
      <c r="L3" s="258"/>
      <c r="M3" s="237" t="str">
        <f ca="1">IF(ISBLANK(L3),"",NETWORKDAYS(TODAY(),L3))</f>
        <v/>
      </c>
      <c r="N3" s="256"/>
      <c r="O3" s="236"/>
      <c r="P3" s="236"/>
      <c r="Q3" s="130" t="s">
        <v>67</v>
      </c>
      <c r="R3" s="151">
        <f>IF(OR($J$3="",$L$3=""),0,NETWORKDAYS($J$3,$L$3))</f>
        <v>0</v>
      </c>
      <c r="S3" s="151">
        <f ca="1">IF(OR($J$3="",$L$3=""),0,NETWORKDAYS(TODAY(),$L$3))</f>
        <v>0</v>
      </c>
      <c r="T3" s="152">
        <f>IF(R3=0,0,(R3-S3)/R3)</f>
        <v>0</v>
      </c>
      <c r="U3" s="149"/>
      <c r="V3" s="61">
        <f ca="1">IFERROR(($R$3-$S$3)-($R$5-$S$5)*($R$3/$R$5),0)</f>
        <v>0</v>
      </c>
      <c r="W3" s="62" t="str">
        <f>IF($R$3=0,"",$V$3/$R$3)</f>
        <v/>
      </c>
      <c r="X3" s="17">
        <v>0</v>
      </c>
      <c r="Y3" s="17">
        <v>0</v>
      </c>
      <c r="Z3" s="17">
        <f ca="1">COUNTIF(Z6:Z19,Pos_Hilfstabelle!$B$125)</f>
        <v>0</v>
      </c>
      <c r="AA3" s="17">
        <f ca="1">COUNTIF(Z6:Z19,Pos_Hilfstabelle!$B$126)</f>
        <v>0</v>
      </c>
      <c r="AB3" s="17">
        <f ca="1">COUNTIF(Z6:Z19,Pos_Hilfstabelle!$B$127)</f>
        <v>0</v>
      </c>
    </row>
    <row r="4" spans="1:29" ht="19.5" customHeight="1">
      <c r="A4" s="446"/>
      <c r="B4" s="94"/>
      <c r="G4" s="123"/>
      <c r="H4" s="260"/>
      <c r="L4" s="121"/>
      <c r="N4" s="257"/>
      <c r="Q4" s="130" t="s">
        <v>3</v>
      </c>
      <c r="R4" s="61">
        <v>0</v>
      </c>
      <c r="S4" s="61">
        <v>0</v>
      </c>
      <c r="T4" s="152">
        <f>IF(R4=0,0,(R4-S4)/R4)</f>
        <v>0</v>
      </c>
      <c r="U4" s="131"/>
      <c r="V4" s="61">
        <f>($R$4-$S$4)-($R$5-$S$5)</f>
        <v>0</v>
      </c>
      <c r="W4" s="62" t="str">
        <f>IF($R$4=0,"",$V$4/$R$4)</f>
        <v/>
      </c>
    </row>
    <row r="5" spans="1:29" ht="19.5" customHeight="1" thickBot="1">
      <c r="A5" s="266"/>
      <c r="B5" s="94"/>
      <c r="G5" s="123"/>
      <c r="L5" s="121"/>
      <c r="M5" s="122"/>
      <c r="Q5" s="128" t="s">
        <v>136</v>
      </c>
      <c r="R5" s="129">
        <v>0</v>
      </c>
      <c r="S5" s="129">
        <v>0</v>
      </c>
      <c r="T5" s="144">
        <f>IF(R5=0,0,(R5-S5)/R5)</f>
        <v>0</v>
      </c>
      <c r="U5" s="131"/>
      <c r="V5" s="125"/>
      <c r="W5" s="120"/>
      <c r="Z5" s="17"/>
      <c r="AA5" s="17"/>
      <c r="AB5" s="17"/>
    </row>
    <row r="6" spans="1:29" ht="15" customHeight="1">
      <c r="V6" s="71"/>
      <c r="W6" s="70"/>
      <c r="Z6" s="17"/>
    </row>
    <row r="7" spans="1:29" ht="15" customHeight="1" thickBot="1">
      <c r="V7" s="71"/>
      <c r="W7" s="70"/>
      <c r="Z7" s="17"/>
    </row>
    <row r="8" spans="1:29" ht="18" customHeight="1" thickBot="1">
      <c r="C8" s="192"/>
      <c r="D8" s="249" t="s">
        <v>111</v>
      </c>
      <c r="E8" s="249"/>
      <c r="F8" s="250" t="s">
        <v>109</v>
      </c>
      <c r="G8" s="251"/>
      <c r="H8" s="251"/>
      <c r="I8" s="244"/>
      <c r="J8" s="245"/>
      <c r="K8" s="246" t="str">
        <f ca="1">IF(OR(J8="",L8=""),"",IF(NETWORKDAYS(J8,TODAY())/NETWORKDAYS(J8,L8)&gt;1,1,NETWORKDAYS(J8,TODAY())/NETWORKDAYS(J8,L8)))</f>
        <v/>
      </c>
      <c r="L8" s="245"/>
      <c r="M8" s="252" t="str">
        <f ca="1">IF(ISBLANK(L8),"",NETWORKDAYS(TODAY(),L8))</f>
        <v/>
      </c>
      <c r="N8" s="253"/>
      <c r="O8" s="253"/>
      <c r="P8" s="254"/>
      <c r="Q8" s="195" t="s">
        <v>3</v>
      </c>
      <c r="R8" s="196">
        <v>0</v>
      </c>
      <c r="S8" s="196">
        <v>0</v>
      </c>
      <c r="T8" s="197">
        <f>IF(R8=0,0,(R8-S8)/R8)</f>
        <v>0</v>
      </c>
      <c r="U8" s="198"/>
      <c r="V8" s="199">
        <f>(R8-S8)-(R9-S9)</f>
        <v>0</v>
      </c>
      <c r="W8" s="200" t="str">
        <f>IF(R8=0,"",V8/R8)</f>
        <v/>
      </c>
      <c r="X8" s="17">
        <v>0</v>
      </c>
      <c r="Y8" s="17">
        <v>0</v>
      </c>
      <c r="Z8" s="66" t="str">
        <f ca="1">IF(M8="","tbd",IF(M8="Done","",IF(M8&lt;0,Pos_Hilfstabelle!$B$127,IF(M8-S8&lt;0,Pos_Hilfstabelle!$B$126,Pos_Hilfstabelle!$B$125))))</f>
        <v>tbd</v>
      </c>
    </row>
    <row r="9" spans="1:29" ht="18" customHeight="1" thickBot="1">
      <c r="C9" s="203"/>
      <c r="Q9" s="195" t="s">
        <v>136</v>
      </c>
      <c r="R9" s="208">
        <v>0</v>
      </c>
      <c r="S9" s="196">
        <v>0</v>
      </c>
      <c r="T9" s="197">
        <f>IF(R9=0,0,(R9-S9)/R9)</f>
        <v>0</v>
      </c>
      <c r="V9" s="71"/>
      <c r="W9" s="70"/>
      <c r="Z9" s="17"/>
    </row>
    <row r="10" spans="1:29" ht="15" customHeight="1">
      <c r="C10" s="201"/>
      <c r="Q10" s="235"/>
      <c r="R10" s="96"/>
      <c r="S10" s="96"/>
      <c r="T10" s="234"/>
      <c r="V10" s="71"/>
      <c r="W10" s="70"/>
      <c r="Z10" s="17"/>
    </row>
    <row r="11" spans="1:29" ht="15" customHeight="1" thickBot="1">
      <c r="C11" s="201"/>
      <c r="Z11" s="17"/>
    </row>
    <row r="12" spans="1:29" ht="18" customHeight="1" thickBot="1">
      <c r="C12" s="204"/>
      <c r="D12" s="241" t="s">
        <v>112</v>
      </c>
      <c r="E12" s="241"/>
      <c r="F12" s="242" t="s">
        <v>110</v>
      </c>
      <c r="G12" s="243"/>
      <c r="H12" s="244"/>
      <c r="I12" s="244"/>
      <c r="J12" s="245"/>
      <c r="K12" s="246" t="str">
        <f ca="1">IF(OR(J12="",L12=""),"",IF(NETWORKDAYS(J12,TODAY())/NETWORKDAYS(J12,L12)&gt;1,1,NETWORKDAYS(J12,TODAY())/NETWORKDAYS(J12,L12)))</f>
        <v/>
      </c>
      <c r="L12" s="245"/>
      <c r="M12" s="247" t="str">
        <f ca="1">IF(T14&gt;=1,"Done",IF(ISBLANK(L12),"",NETWORKDAYS(TODAY(),L12)))</f>
        <v/>
      </c>
      <c r="N12" s="248"/>
      <c r="O12" s="248"/>
      <c r="P12" s="248"/>
      <c r="Q12" s="207" t="s">
        <v>3</v>
      </c>
      <c r="R12" s="208">
        <v>0</v>
      </c>
      <c r="S12" s="208">
        <v>0</v>
      </c>
      <c r="T12" s="206">
        <f>IF(R12=0,0,(R12-S12)/R12)</f>
        <v>0</v>
      </c>
      <c r="U12" s="205"/>
      <c r="V12" s="199">
        <f>(R12-S12)-(R14-S14)</f>
        <v>0</v>
      </c>
      <c r="W12" s="200" t="str">
        <f>IF(R12=0,"",V12/R12)</f>
        <v/>
      </c>
      <c r="X12" s="17">
        <v>0</v>
      </c>
      <c r="Y12" s="17">
        <v>0</v>
      </c>
      <c r="Z12" s="66" t="str">
        <f ca="1">IF(M12="","tbd",IF(M12="Done","",IF(M12&lt;0,Pos_Hilfstabelle!$B$127,IF(M12-S12&lt;0,Pos_Hilfstabelle!$B$126,Pos_Hilfstabelle!$B$125))))</f>
        <v>tbd</v>
      </c>
    </row>
    <row r="13" spans="1:29" ht="15" customHeight="1" thickBot="1">
      <c r="C13" s="204"/>
      <c r="D13" s="212"/>
      <c r="E13" s="211"/>
      <c r="F13" s="221"/>
      <c r="G13" s="221"/>
      <c r="H13" s="221"/>
      <c r="I13" s="218"/>
      <c r="J13" s="222"/>
      <c r="K13" s="239">
        <f ca="1">IF(OR(J13="",L13=""),0,IF(NETWORKDAYS(J13,TODAY())/NETWORKDAYS(J13,L13)&gt;1,1,NETWORKDAYS(J13,TODAY())/NETWORKDAYS(J13,L13)))</f>
        <v>0</v>
      </c>
      <c r="L13" s="223"/>
      <c r="M13" s="262" t="str">
        <f ca="1">IF(P13&gt;=1,"Done",IF(ISBLANK(L13),"",NETWORKDAYS(TODAY(),L13)))</f>
        <v/>
      </c>
      <c r="N13" s="213"/>
      <c r="O13" s="229">
        <v>0</v>
      </c>
      <c r="P13" s="229">
        <v>0</v>
      </c>
      <c r="Q13" s="226"/>
      <c r="R13" s="227">
        <v>0</v>
      </c>
      <c r="S13" s="227">
        <f>R13/(1-O13)*(1-P13)</f>
        <v>0</v>
      </c>
      <c r="T13" s="66"/>
      <c r="U13" s="66"/>
      <c r="V13" s="71"/>
      <c r="W13" s="95"/>
      <c r="Z13" s="66" t="str">
        <f ca="1">IF(M13="","tbd",IF(M13="Done","",IF(M13&lt;0,Pos_Hilfstabelle!$B$127,IF(M13-S13&lt;0,Pos_Hilfstabelle!$B$126,Pos_Hilfstabelle!$B$125))))</f>
        <v>tbd</v>
      </c>
    </row>
    <row r="14" spans="1:29" ht="18" customHeight="1" thickBot="1">
      <c r="Q14" s="207" t="s">
        <v>136</v>
      </c>
      <c r="R14" s="208">
        <f>SUM(R13:R13)</f>
        <v>0</v>
      </c>
      <c r="S14" s="208">
        <f>IF(R14&lt;&gt;0,SUM(S13:S13),SUM(S13:S13))</f>
        <v>0</v>
      </c>
      <c r="T14" s="206">
        <f>IF(R14=0,0,(R14-S14)/R14)</f>
        <v>0</v>
      </c>
      <c r="Z14" s="17"/>
    </row>
    <row r="15" spans="1:29" ht="15" customHeight="1" thickBot="1"/>
    <row r="16" spans="1:29" ht="18" customHeight="1" thickBot="1">
      <c r="C16" s="216"/>
      <c r="D16" s="249" t="s">
        <v>113</v>
      </c>
      <c r="E16" s="249"/>
      <c r="F16" s="250" t="s">
        <v>109</v>
      </c>
      <c r="G16" s="251"/>
      <c r="H16" s="244"/>
      <c r="I16" s="244"/>
      <c r="J16" s="245"/>
      <c r="K16" s="246" t="str">
        <f ca="1">IF(OR(J16="",L16=""),"",IF(NETWORKDAYS(J16,TODAY())/NETWORKDAYS(J16,L16)&gt;1,1,NETWORKDAYS(J16,TODAY())/NETWORKDAYS(J16,L16)))</f>
        <v/>
      </c>
      <c r="L16" s="245"/>
      <c r="M16" s="247" t="str">
        <f ca="1">IF(T18&gt;=1,"Done",IF(ISBLANK(L16),"",NETWORKDAYS(TODAY(),L16)))</f>
        <v/>
      </c>
      <c r="N16" s="253"/>
      <c r="O16" s="253"/>
      <c r="P16" s="253"/>
      <c r="Q16" s="209" t="s">
        <v>3</v>
      </c>
      <c r="R16" s="208">
        <v>0</v>
      </c>
      <c r="S16" s="208">
        <v>0</v>
      </c>
      <c r="T16" s="206">
        <f>IF(R16=0,0,(R16-S16)/R16)</f>
        <v>0</v>
      </c>
      <c r="U16" s="205"/>
      <c r="V16" s="199">
        <f>(R16-S16)-(R18-S18)</f>
        <v>0</v>
      </c>
      <c r="W16" s="200" t="str">
        <f>IF(R16=0,"",V16/R16)</f>
        <v/>
      </c>
      <c r="X16" s="17">
        <v>0</v>
      </c>
      <c r="Y16" s="17">
        <v>0</v>
      </c>
      <c r="Z16" s="66" t="str">
        <f ca="1">IF(M16="","tbd",IF(M16="Done","",IF(M16&lt;0,Pos_Hilfstabelle!$B$127,IF(M16-S16&lt;0,Pos_Hilfstabelle!$B$126,Pos_Hilfstabelle!$B$125))))</f>
        <v>tbd</v>
      </c>
    </row>
    <row r="17" spans="3:26" ht="15" customHeight="1" thickBot="1">
      <c r="C17" s="202"/>
      <c r="D17" s="210"/>
      <c r="E17" s="211"/>
      <c r="F17" s="221"/>
      <c r="G17" s="221"/>
      <c r="H17" s="221"/>
      <c r="I17" s="218"/>
      <c r="J17" s="222"/>
      <c r="K17" s="239">
        <f ca="1">IF(OR(J17="",L17=""),0,IF(NETWORKDAYS(J17,TODAY())/NETWORKDAYS(J17,L17)&gt;1,1,NETWORKDAYS(J17,TODAY())/NETWORKDAYS(J17,L17)))</f>
        <v>0</v>
      </c>
      <c r="L17" s="223"/>
      <c r="M17" s="262" t="str">
        <f ca="1">IF(P17&gt;=1,"Done",IF(ISBLANK(L17),"",NETWORKDAYS(TODAY(),L17)))</f>
        <v/>
      </c>
      <c r="N17" s="213"/>
      <c r="O17" s="229">
        <v>0</v>
      </c>
      <c r="P17" s="229">
        <v>0</v>
      </c>
      <c r="Q17" s="224"/>
      <c r="R17" s="225">
        <v>0</v>
      </c>
      <c r="S17" s="225">
        <f>R17/(1-O17)*(1-P17)</f>
        <v>0</v>
      </c>
      <c r="T17" s="66"/>
      <c r="U17" s="66"/>
      <c r="V17" s="71"/>
      <c r="W17" s="95"/>
      <c r="Z17" s="66" t="str">
        <f ca="1">IF(M17="","tbd",IF(M17="Done","",IF(M17&lt;0,Pos_Hilfstabelle!$B$127,IF(M17-S17&lt;0,Pos_Hilfstabelle!$B$126,Pos_Hilfstabelle!$B$125))))</f>
        <v>tbd</v>
      </c>
    </row>
    <row r="18" spans="3:26" ht="18" customHeight="1" thickBot="1">
      <c r="O18" s="145"/>
      <c r="Q18" s="207" t="s">
        <v>136</v>
      </c>
      <c r="R18" s="208">
        <f>SUM(R17:R17)</f>
        <v>0</v>
      </c>
      <c r="S18" s="208">
        <f>IF(R18&lt;&gt;0,SUM(S17:S17),SUM(S17:S17))</f>
        <v>0</v>
      </c>
      <c r="T18" s="206">
        <f>IF(R18=0,0,(R18-S18)/R18)</f>
        <v>0</v>
      </c>
    </row>
    <row r="19" spans="3:26" ht="15" customHeight="1">
      <c r="R19" s="96"/>
      <c r="S19" s="96"/>
      <c r="X19" s="17" t="s">
        <v>2</v>
      </c>
    </row>
    <row r="20" spans="3:26" ht="15" customHeight="1">
      <c r="R20" s="96"/>
      <c r="S20" s="96"/>
    </row>
    <row r="21" spans="3:26" ht="15" customHeight="1">
      <c r="R21" s="96"/>
      <c r="S21" s="96"/>
    </row>
    <row r="22" spans="3:26" ht="15" customHeight="1" thickBot="1">
      <c r="I22" s="233"/>
      <c r="R22" s="96"/>
      <c r="S22" s="96"/>
    </row>
    <row r="23" spans="3:26" ht="15" customHeight="1">
      <c r="D23" s="231"/>
      <c r="E23" s="211"/>
      <c r="F23" s="217"/>
      <c r="G23" s="217"/>
      <c r="H23" s="217"/>
      <c r="I23" s="232"/>
      <c r="J23" s="219"/>
      <c r="K23" s="240">
        <f ca="1">IF(OR(J23="",L23=""),0,IF(NETWORKDAYS(J23,TODAY())/NETWORKDAYS(J23,L23)&gt;1,1,NETWORKDAYS(J23,TODAY())/NETWORKDAYS(J23,L23)))</f>
        <v>0</v>
      </c>
      <c r="L23" s="220"/>
      <c r="M23" s="263" t="str">
        <f ca="1">IF(P23&gt;=1,"Done",IF(ISBLANK(L23),"",NETWORKDAYS(TODAY(),L23)))</f>
        <v/>
      </c>
      <c r="N23" s="215"/>
      <c r="O23" s="230">
        <v>0</v>
      </c>
      <c r="P23" s="230">
        <v>0</v>
      </c>
      <c r="Q23" s="214"/>
      <c r="R23" s="228">
        <v>0</v>
      </c>
      <c r="S23" s="228">
        <f>R23/(1-O23)*(1-P23)</f>
        <v>0</v>
      </c>
      <c r="T23" s="66"/>
      <c r="U23" s="66"/>
      <c r="V23" s="71"/>
      <c r="W23" s="95"/>
      <c r="X23" s="17">
        <v>0</v>
      </c>
      <c r="Y23" s="17">
        <v>0</v>
      </c>
      <c r="Z23" s="66" t="str">
        <f ca="1">IF(M23="","tbd",IF(M23="Done","",IF(M23&lt;0,Pos_Hilfstabelle!$B$127,IF(M23-S23&lt;0,Pos_Hilfstabelle!$B$126,Pos_Hilfstabelle!$B$125))))</f>
        <v>tbd</v>
      </c>
    </row>
    <row r="24" spans="3:26" ht="15" customHeight="1">
      <c r="R24" s="96"/>
      <c r="S24" s="96"/>
    </row>
    <row r="25" spans="3:26" ht="15" customHeight="1" thickBot="1">
      <c r="R25" s="96"/>
      <c r="S25" s="96"/>
    </row>
    <row r="26" spans="3:26" ht="15" customHeight="1">
      <c r="G26" s="461" t="s">
        <v>45</v>
      </c>
      <c r="H26" s="462"/>
      <c r="I26" s="462"/>
      <c r="J26" s="462"/>
      <c r="K26" s="462"/>
      <c r="L26" s="462"/>
      <c r="M26" s="462"/>
      <c r="N26" s="462"/>
      <c r="O26" s="462"/>
      <c r="P26" s="463"/>
    </row>
    <row r="27" spans="3:26" ht="15" customHeight="1">
      <c r="G27" s="464"/>
      <c r="H27" s="465"/>
      <c r="I27" s="465"/>
      <c r="J27" s="465"/>
      <c r="K27" s="465"/>
      <c r="L27" s="465"/>
      <c r="M27" s="465"/>
      <c r="N27" s="465"/>
      <c r="O27" s="465"/>
      <c r="P27" s="466"/>
      <c r="R27" s="96"/>
    </row>
    <row r="28" spans="3:26" ht="15" customHeight="1">
      <c r="G28" s="464"/>
      <c r="H28" s="465"/>
      <c r="I28" s="465"/>
      <c r="J28" s="465"/>
      <c r="K28" s="465"/>
      <c r="L28" s="465"/>
      <c r="M28" s="465"/>
      <c r="N28" s="465"/>
      <c r="O28" s="465"/>
      <c r="P28" s="466"/>
    </row>
    <row r="29" spans="3:26" ht="15" customHeight="1">
      <c r="G29" s="464"/>
      <c r="H29" s="465"/>
      <c r="I29" s="465"/>
      <c r="J29" s="465"/>
      <c r="K29" s="465"/>
      <c r="L29" s="465"/>
      <c r="M29" s="465"/>
      <c r="N29" s="465"/>
      <c r="O29" s="465"/>
      <c r="P29" s="466"/>
    </row>
    <row r="30" spans="3:26" ht="15" customHeight="1">
      <c r="G30" s="464"/>
      <c r="H30" s="465"/>
      <c r="I30" s="465"/>
      <c r="J30" s="465"/>
      <c r="K30" s="465"/>
      <c r="L30" s="465"/>
      <c r="M30" s="465"/>
      <c r="N30" s="465"/>
      <c r="O30" s="465"/>
      <c r="P30" s="466"/>
    </row>
    <row r="31" spans="3:26" ht="15" customHeight="1">
      <c r="G31" s="464"/>
      <c r="H31" s="465"/>
      <c r="I31" s="465"/>
      <c r="J31" s="465"/>
      <c r="K31" s="465"/>
      <c r="L31" s="465"/>
      <c r="M31" s="465"/>
      <c r="N31" s="465"/>
      <c r="O31" s="465"/>
      <c r="P31" s="466"/>
    </row>
    <row r="32" spans="3:26" ht="15" customHeight="1" thickBot="1">
      <c r="G32" s="467"/>
      <c r="H32" s="468"/>
      <c r="I32" s="468"/>
      <c r="J32" s="468"/>
      <c r="K32" s="468"/>
      <c r="L32" s="468"/>
      <c r="M32" s="468"/>
      <c r="N32" s="468"/>
      <c r="O32" s="468"/>
      <c r="P32" s="469"/>
    </row>
  </sheetData>
  <dataConsolidate/>
  <mergeCells count="9">
    <mergeCell ref="G26:P32"/>
    <mergeCell ref="X1:Y1"/>
    <mergeCell ref="Z1:AB1"/>
    <mergeCell ref="V2:W2"/>
    <mergeCell ref="V1:W1"/>
    <mergeCell ref="I1:M1"/>
    <mergeCell ref="A1:A4"/>
    <mergeCell ref="O1:P1"/>
    <mergeCell ref="R1:S1"/>
  </mergeCells>
  <conditionalFormatting sqref="W8">
    <cfRule type="containsBlanks" dxfId="191" priority="260">
      <formula>LEN(TRIM(W8))=0</formula>
    </cfRule>
    <cfRule type="cellIs" dxfId="190" priority="262" operator="greaterThan">
      <formula>0</formula>
    </cfRule>
    <cfRule type="cellIs" dxfId="189" priority="291" operator="lessThanOrEqual">
      <formula>0</formula>
    </cfRule>
  </conditionalFormatting>
  <conditionalFormatting sqref="M5 M2:M3">
    <cfRule type="cellIs" dxfId="188" priority="287" operator="lessThan">
      <formula>0</formula>
    </cfRule>
    <cfRule type="cellIs" dxfId="187" priority="288" operator="lessThan">
      <formula>$S$4+#REF!</formula>
    </cfRule>
    <cfRule type="cellIs" dxfId="186" priority="289" operator="lessThan">
      <formula>5</formula>
    </cfRule>
  </conditionalFormatting>
  <conditionalFormatting sqref="T3:T5">
    <cfRule type="dataBar" priority="229">
      <dataBar>
        <cfvo type="num" val="0"/>
        <cfvo type="num" val="1"/>
        <color rgb="FF9AC7F0"/>
      </dataBar>
      <extLst>
        <ext xmlns:x14="http://schemas.microsoft.com/office/spreadsheetml/2009/9/main" uri="{B025F937-C7B1-47D3-B67F-A62EFF666E3E}">
          <x14:id>{AA594159-32BC-4AF8-B30D-6B67F52DA3D3}</x14:id>
        </ext>
      </extLst>
    </cfRule>
  </conditionalFormatting>
  <conditionalFormatting sqref="T8">
    <cfRule type="cellIs" dxfId="185" priority="136" operator="greaterThan">
      <formula>1</formula>
    </cfRule>
    <cfRule type="dataBar" priority="227">
      <dataBar>
        <cfvo type="num" val="0"/>
        <cfvo type="num" val="1"/>
        <color rgb="FF9AC7F0"/>
      </dataBar>
      <extLst>
        <ext xmlns:x14="http://schemas.microsoft.com/office/spreadsheetml/2009/9/main" uri="{B025F937-C7B1-47D3-B67F-A62EFF666E3E}">
          <x14:id>{FCD4F0B4-11B0-436B-8C24-BE57D4DA8625}</x14:id>
        </ext>
      </extLst>
    </cfRule>
  </conditionalFormatting>
  <conditionalFormatting sqref="T12">
    <cfRule type="cellIs" dxfId="184" priority="135" operator="greaterThan">
      <formula>1</formula>
    </cfRule>
    <cfRule type="dataBar" priority="226">
      <dataBar>
        <cfvo type="num" val="0"/>
        <cfvo type="num" val="1"/>
        <color rgb="FF9AC7F0"/>
      </dataBar>
      <extLst>
        <ext xmlns:x14="http://schemas.microsoft.com/office/spreadsheetml/2009/9/main" uri="{B025F937-C7B1-47D3-B67F-A62EFF666E3E}">
          <x14:id>{59D2F4A3-0E17-4D19-BC25-621B28341356}</x14:id>
        </ext>
      </extLst>
    </cfRule>
  </conditionalFormatting>
  <conditionalFormatting sqref="T14">
    <cfRule type="dataBar" priority="225">
      <dataBar>
        <cfvo type="num" val="0"/>
        <cfvo type="num" val="1"/>
        <color rgb="FF9AC7F0"/>
      </dataBar>
      <extLst>
        <ext xmlns:x14="http://schemas.microsoft.com/office/spreadsheetml/2009/9/main" uri="{B025F937-C7B1-47D3-B67F-A62EFF666E3E}">
          <x14:id>{F9CD2412-FA08-44B4-AB0B-4B95D7C2C847}</x14:id>
        </ext>
      </extLst>
    </cfRule>
  </conditionalFormatting>
  <conditionalFormatting sqref="T16">
    <cfRule type="cellIs" dxfId="183" priority="134" operator="greaterThan">
      <formula>1</formula>
    </cfRule>
    <cfRule type="dataBar" priority="223">
      <dataBar>
        <cfvo type="num" val="0"/>
        <cfvo type="num" val="1"/>
        <color rgb="FF9AC7F0"/>
      </dataBar>
      <extLst>
        <ext xmlns:x14="http://schemas.microsoft.com/office/spreadsheetml/2009/9/main" uri="{B025F937-C7B1-47D3-B67F-A62EFF666E3E}">
          <x14:id>{1ED819CD-08F8-4260-ADDC-6C59033A0875}</x14:id>
        </ext>
      </extLst>
    </cfRule>
  </conditionalFormatting>
  <conditionalFormatting sqref="T18">
    <cfRule type="dataBar" priority="221">
      <dataBar>
        <cfvo type="num" val="0"/>
        <cfvo type="num" val="1"/>
        <color rgb="FF9AC7F0"/>
      </dataBar>
      <extLst>
        <ext xmlns:x14="http://schemas.microsoft.com/office/spreadsheetml/2009/9/main" uri="{B025F937-C7B1-47D3-B67F-A62EFF666E3E}">
          <x14:id>{2A1620D4-D79E-4036-9F0E-D0B113E8ADF2}</x14:id>
        </ext>
      </extLst>
    </cfRule>
  </conditionalFormatting>
  <conditionalFormatting sqref="M12">
    <cfRule type="cellIs" dxfId="182" priority="56" operator="equal">
      <formula>"Done"</formula>
    </cfRule>
    <cfRule type="cellIs" dxfId="181" priority="267" operator="lessThan">
      <formula>0</formula>
    </cfRule>
    <cfRule type="cellIs" dxfId="180" priority="268" operator="lessThan">
      <formula>$S$12</formula>
    </cfRule>
    <cfRule type="cellIs" dxfId="179" priority="273" operator="lessThan">
      <formula>5</formula>
    </cfRule>
  </conditionalFormatting>
  <conditionalFormatting sqref="R18">
    <cfRule type="cellIs" dxfId="178" priority="198" operator="lessThan">
      <formula>R16</formula>
    </cfRule>
    <cfRule type="cellIs" dxfId="177" priority="214" operator="greaterThan">
      <formula>R16</formula>
    </cfRule>
  </conditionalFormatting>
  <conditionalFormatting sqref="W3:W4">
    <cfRule type="containsBlanks" dxfId="176" priority="210">
      <formula>LEN(TRIM(W3))=0</formula>
    </cfRule>
    <cfRule type="cellIs" dxfId="175" priority="212" operator="greaterThan">
      <formula>0</formula>
    </cfRule>
    <cfRule type="cellIs" dxfId="174" priority="213" operator="lessThanOrEqual">
      <formula>0</formula>
    </cfRule>
  </conditionalFormatting>
  <conditionalFormatting sqref="W12">
    <cfRule type="containsBlanks" dxfId="173" priority="206">
      <formula>LEN(TRIM(W12))=0</formula>
    </cfRule>
    <cfRule type="cellIs" dxfId="172" priority="208" operator="greaterThan">
      <formula>0</formula>
    </cfRule>
    <cfRule type="cellIs" dxfId="171" priority="209" operator="lessThanOrEqual">
      <formula>0</formula>
    </cfRule>
  </conditionalFormatting>
  <conditionalFormatting sqref="W16">
    <cfRule type="containsBlanks" dxfId="170" priority="202">
      <formula>LEN(TRIM(W16))=0</formula>
    </cfRule>
    <cfRule type="cellIs" dxfId="169" priority="204" operator="greaterThan">
      <formula>0</formula>
    </cfRule>
    <cfRule type="cellIs" dxfId="168" priority="205" operator="lessThanOrEqual">
      <formula>0</formula>
    </cfRule>
  </conditionalFormatting>
  <conditionalFormatting sqref="T9">
    <cfRule type="dataBar" priority="201">
      <dataBar>
        <cfvo type="num" val="0"/>
        <cfvo type="num" val="1"/>
        <color rgb="FF9AC7F0"/>
      </dataBar>
      <extLst>
        <ext xmlns:x14="http://schemas.microsoft.com/office/spreadsheetml/2009/9/main" uri="{B025F937-C7B1-47D3-B67F-A62EFF666E3E}">
          <x14:id>{F6536CC3-1C06-4D91-95D5-C8362A5FC2E6}</x14:id>
        </ext>
      </extLst>
    </cfRule>
  </conditionalFormatting>
  <conditionalFormatting sqref="O13">
    <cfRule type="dataBar" priority="151">
      <dataBar>
        <cfvo type="num" val="0"/>
        <cfvo type="num" val="1"/>
        <color rgb="FF9AC7F0"/>
      </dataBar>
      <extLst>
        <ext xmlns:x14="http://schemas.microsoft.com/office/spreadsheetml/2009/9/main" uri="{B025F937-C7B1-47D3-B67F-A62EFF666E3E}">
          <x14:id>{AB3B9BD5-8A48-4078-960B-DDE5A87874E7}</x14:id>
        </ext>
      </extLst>
    </cfRule>
  </conditionalFormatting>
  <conditionalFormatting sqref="S4">
    <cfRule type="cellIs" dxfId="167" priority="138" operator="lessThan">
      <formula>0</formula>
    </cfRule>
  </conditionalFormatting>
  <conditionalFormatting sqref="T4">
    <cfRule type="cellIs" dxfId="166" priority="137" operator="greaterThan">
      <formula>1</formula>
    </cfRule>
  </conditionalFormatting>
  <conditionalFormatting sqref="I12">
    <cfRule type="expression" dxfId="165" priority="126">
      <formula>AND(J12&lt;&gt;"",J12&lt;=TODAY(),P12&lt;1,M12&lt;&gt;"Done")</formula>
    </cfRule>
  </conditionalFormatting>
  <conditionalFormatting sqref="I23">
    <cfRule type="expression" dxfId="164" priority="103">
      <formula>AND(J23&lt;&gt;"",J23&lt;=TODAY(),P23&lt;1)</formula>
    </cfRule>
  </conditionalFormatting>
  <conditionalFormatting sqref="H12">
    <cfRule type="cellIs" dxfId="163" priority="102" operator="equal">
      <formula>"Nicht buchbar!"</formula>
    </cfRule>
  </conditionalFormatting>
  <conditionalFormatting sqref="H16">
    <cfRule type="cellIs" dxfId="162" priority="101" operator="equal">
      <formula>"Nicht buchbar!"</formula>
    </cfRule>
  </conditionalFormatting>
  <conditionalFormatting sqref="I16">
    <cfRule type="expression" dxfId="161" priority="100">
      <formula>AND(J16&lt;&gt;"",J16&lt;=TODAY(),P16&lt;1)</formula>
    </cfRule>
  </conditionalFormatting>
  <conditionalFormatting sqref="K16">
    <cfRule type="dataBar" priority="96">
      <dataBar>
        <cfvo type="num" val="0"/>
        <cfvo type="num" val="1"/>
        <color rgb="FF9AC7F0"/>
      </dataBar>
      <extLst>
        <ext xmlns:x14="http://schemas.microsoft.com/office/spreadsheetml/2009/9/main" uri="{B025F937-C7B1-47D3-B67F-A62EFF666E3E}">
          <x14:id>{756A7357-D032-41F8-8D8F-6B03DF48FAC7}</x14:id>
        </ext>
      </extLst>
    </cfRule>
    <cfRule type="notContainsBlanks" dxfId="160" priority="294">
      <formula>LEN(TRIM(K16))&gt;0</formula>
    </cfRule>
  </conditionalFormatting>
  <conditionalFormatting sqref="K13">
    <cfRule type="expression" priority="32">
      <formula>IF(M13="Done",TRUE,FALSE)</formula>
    </cfRule>
    <cfRule type="cellIs" dxfId="159" priority="61" operator="greaterThan">
      <formula>P13</formula>
    </cfRule>
    <cfRule type="dataBar" priority="90">
      <dataBar>
        <cfvo type="num" val="0"/>
        <cfvo type="num" val="1"/>
        <color rgb="FF9AC7F0"/>
      </dataBar>
      <extLst>
        <ext xmlns:x14="http://schemas.microsoft.com/office/spreadsheetml/2009/9/main" uri="{B025F937-C7B1-47D3-B67F-A62EFF666E3E}">
          <x14:id>{B6FD2862-366B-4059-9CBA-E6612F0FB329}</x14:id>
        </ext>
      </extLst>
    </cfRule>
  </conditionalFormatting>
  <conditionalFormatting sqref="I17">
    <cfRule type="expression" dxfId="158" priority="89">
      <formula>AND(J17&lt;&gt;"",J17&lt;=TODAY(),P17&lt;1)</formula>
    </cfRule>
  </conditionalFormatting>
  <conditionalFormatting sqref="K12">
    <cfRule type="dataBar" priority="82">
      <dataBar>
        <cfvo type="num" val="0"/>
        <cfvo type="num" val="1"/>
        <color rgb="FF9AC7F0"/>
      </dataBar>
      <extLst>
        <ext xmlns:x14="http://schemas.microsoft.com/office/spreadsheetml/2009/9/main" uri="{B025F937-C7B1-47D3-B67F-A62EFF666E3E}">
          <x14:id>{39130CB1-50FA-4C1E-A2C9-46D8377D6413}</x14:id>
        </ext>
      </extLst>
    </cfRule>
    <cfRule type="notContainsBlanks" dxfId="157" priority="83">
      <formula>LEN(TRIM(K12))&gt;0</formula>
    </cfRule>
  </conditionalFormatting>
  <conditionalFormatting sqref="K8">
    <cfRule type="dataBar" priority="79">
      <dataBar>
        <cfvo type="num" val="0"/>
        <cfvo type="num" val="1"/>
        <color rgb="FF9AC7F0"/>
      </dataBar>
      <extLst>
        <ext xmlns:x14="http://schemas.microsoft.com/office/spreadsheetml/2009/9/main" uri="{B025F937-C7B1-47D3-B67F-A62EFF666E3E}">
          <x14:id>{DF53366C-B1B2-4167-9F2D-A1C85587E53E}</x14:id>
        </ext>
      </extLst>
    </cfRule>
    <cfRule type="notContainsBlanks" dxfId="156" priority="80">
      <formula>LEN(TRIM(K8))&gt;0</formula>
    </cfRule>
  </conditionalFormatting>
  <conditionalFormatting sqref="I8">
    <cfRule type="expression" dxfId="155" priority="78">
      <formula>AND(J8&lt;&gt;"",J8&lt;=TODAY(),P8&lt;1)</formula>
    </cfRule>
  </conditionalFormatting>
  <conditionalFormatting sqref="M8">
    <cfRule type="cellIs" dxfId="154" priority="75" operator="lessThan">
      <formula>0</formula>
    </cfRule>
    <cfRule type="cellIs" dxfId="153" priority="76" operator="lessThan">
      <formula>T8</formula>
    </cfRule>
    <cfRule type="cellIs" dxfId="152" priority="77" operator="lessThan">
      <formula>5</formula>
    </cfRule>
  </conditionalFormatting>
  <conditionalFormatting sqref="M8">
    <cfRule type="notContainsBlanks" dxfId="151" priority="297">
      <formula>LEN(TRIM(M8))&gt;0</formula>
    </cfRule>
  </conditionalFormatting>
  <conditionalFormatting sqref="J3">
    <cfRule type="notContainsBlanks" dxfId="150" priority="73">
      <formula>LEN(TRIM(J3))&gt;0</formula>
    </cfRule>
  </conditionalFormatting>
  <conditionalFormatting sqref="L3">
    <cfRule type="notContainsBlanks" dxfId="149" priority="72">
      <formula>LEN(TRIM(L3))&gt;0</formula>
    </cfRule>
  </conditionalFormatting>
  <conditionalFormatting sqref="M3">
    <cfRule type="notContainsBlanks" dxfId="148" priority="71">
      <formula>LEN(TRIM(M3))&gt;0</formula>
    </cfRule>
  </conditionalFormatting>
  <conditionalFormatting sqref="I13">
    <cfRule type="expression" dxfId="147" priority="69">
      <formula>AND(J13&lt;&gt;"",J13&lt;=TODAY(),P13&lt;1)</formula>
    </cfRule>
  </conditionalFormatting>
  <conditionalFormatting sqref="I3">
    <cfRule type="expression" dxfId="146" priority="68">
      <formula>AND(J3&lt;&gt;"",J3&lt;=TODAY(),P3&lt;1)</formula>
    </cfRule>
  </conditionalFormatting>
  <conditionalFormatting sqref="H3">
    <cfRule type="expression" dxfId="145" priority="67">
      <formula>IF($H$4&lt;&gt;"",TRUE,FALSE)</formula>
    </cfRule>
  </conditionalFormatting>
  <conditionalFormatting sqref="O17">
    <cfRule type="dataBar" priority="66">
      <dataBar>
        <cfvo type="num" val="0"/>
        <cfvo type="num" val="1"/>
        <color rgb="FF9AC7F0"/>
      </dataBar>
      <extLst>
        <ext xmlns:x14="http://schemas.microsoft.com/office/spreadsheetml/2009/9/main" uri="{B025F937-C7B1-47D3-B67F-A62EFF666E3E}">
          <x14:id>{DA834F19-CCD8-437D-861B-6DAC13F4807B}</x14:id>
        </ext>
      </extLst>
    </cfRule>
  </conditionalFormatting>
  <conditionalFormatting sqref="P13">
    <cfRule type="dataBar" priority="65">
      <dataBar>
        <cfvo type="num" val="0"/>
        <cfvo type="num" val="1"/>
        <color rgb="FF9AC7F0"/>
      </dataBar>
      <extLst>
        <ext xmlns:x14="http://schemas.microsoft.com/office/spreadsheetml/2009/9/main" uri="{B025F937-C7B1-47D3-B67F-A62EFF666E3E}">
          <x14:id>{0C7D1565-4D47-43CB-AE0E-2831A9C62E9F}</x14:id>
        </ext>
      </extLst>
    </cfRule>
  </conditionalFormatting>
  <conditionalFormatting sqref="P17">
    <cfRule type="dataBar" priority="64">
      <dataBar>
        <cfvo type="num" val="0"/>
        <cfvo type="num" val="1"/>
        <color rgb="FF9AC7F0"/>
      </dataBar>
      <extLst>
        <ext xmlns:x14="http://schemas.microsoft.com/office/spreadsheetml/2009/9/main" uri="{B025F937-C7B1-47D3-B67F-A62EFF666E3E}">
          <x14:id>{1BB06599-A2D6-45E5-9969-5F8D8FF84736}</x14:id>
        </ext>
      </extLst>
    </cfRule>
  </conditionalFormatting>
  <conditionalFormatting sqref="P23">
    <cfRule type="dataBar" priority="63">
      <dataBar>
        <cfvo type="num" val="0"/>
        <cfvo type="num" val="1"/>
        <color rgb="FF9AC7F0"/>
      </dataBar>
      <extLst>
        <ext xmlns:x14="http://schemas.microsoft.com/office/spreadsheetml/2009/9/main" uri="{B025F937-C7B1-47D3-B67F-A62EFF666E3E}">
          <x14:id>{1B573B78-662C-48FC-B01C-E5B0A422CD23}</x14:id>
        </ext>
      </extLst>
    </cfRule>
  </conditionalFormatting>
  <conditionalFormatting sqref="O23">
    <cfRule type="dataBar" priority="62">
      <dataBar>
        <cfvo type="num" val="0"/>
        <cfvo type="num" val="1"/>
        <color rgb="FF9AC7F0"/>
      </dataBar>
      <extLst>
        <ext xmlns:x14="http://schemas.microsoft.com/office/spreadsheetml/2009/9/main" uri="{B025F937-C7B1-47D3-B67F-A62EFF666E3E}">
          <x14:id>{F0B85BA2-F9AF-4853-AB72-C4F4EF45E39F}</x14:id>
        </ext>
      </extLst>
    </cfRule>
  </conditionalFormatting>
  <conditionalFormatting sqref="M16">
    <cfRule type="cellIs" dxfId="144" priority="52" operator="lessThan">
      <formula>0</formula>
    </cfRule>
    <cfRule type="cellIs" dxfId="143" priority="53" operator="lessThan">
      <formula>T16</formula>
    </cfRule>
    <cfRule type="cellIs" dxfId="142" priority="54" operator="lessThan">
      <formula>5</formula>
    </cfRule>
  </conditionalFormatting>
  <conditionalFormatting sqref="M16">
    <cfRule type="cellIs" dxfId="141" priority="51" operator="equal">
      <formula>"Done"</formula>
    </cfRule>
    <cfRule type="notContainsBlanks" dxfId="140" priority="55">
      <formula>LEN(TRIM(M16))&gt;0</formula>
    </cfRule>
  </conditionalFormatting>
  <conditionalFormatting sqref="M13">
    <cfRule type="cellIs" dxfId="139" priority="23" operator="lessThan">
      <formula>0</formula>
    </cfRule>
    <cfRule type="cellIs" dxfId="138" priority="24" operator="lessThan">
      <formula>S13</formula>
    </cfRule>
    <cfRule type="cellIs" dxfId="137" priority="25" operator="lessThan">
      <formula>5</formula>
    </cfRule>
  </conditionalFormatting>
  <conditionalFormatting sqref="M13">
    <cfRule type="cellIs" dxfId="136" priority="22" operator="equal">
      <formula>"Done"</formula>
    </cfRule>
  </conditionalFormatting>
  <conditionalFormatting sqref="K17">
    <cfRule type="expression" priority="17">
      <formula>IF(M17="Done",TRUE,FALSE)</formula>
    </cfRule>
    <cfRule type="cellIs" dxfId="135" priority="18" operator="greaterThan">
      <formula>P17</formula>
    </cfRule>
    <cfRule type="dataBar" priority="19">
      <dataBar>
        <cfvo type="num" val="0"/>
        <cfvo type="num" val="1"/>
        <color rgb="FF9AC7F0"/>
      </dataBar>
      <extLst>
        <ext xmlns:x14="http://schemas.microsoft.com/office/spreadsheetml/2009/9/main" uri="{B025F937-C7B1-47D3-B67F-A62EFF666E3E}">
          <x14:id>{2DBA07E9-4B30-41C7-84BD-F629ABB9819E}</x14:id>
        </ext>
      </extLst>
    </cfRule>
  </conditionalFormatting>
  <conditionalFormatting sqref="K23">
    <cfRule type="expression" priority="14">
      <formula>IF(M23="Done",TRUE,FALSE)</formula>
    </cfRule>
    <cfRule type="cellIs" dxfId="134" priority="15" operator="greaterThan">
      <formula>P23</formula>
    </cfRule>
    <cfRule type="dataBar" priority="16">
      <dataBar>
        <cfvo type="num" val="0"/>
        <cfvo type="num" val="1"/>
        <color rgb="FF9AC7F0"/>
      </dataBar>
      <extLst>
        <ext xmlns:x14="http://schemas.microsoft.com/office/spreadsheetml/2009/9/main" uri="{B025F937-C7B1-47D3-B67F-A62EFF666E3E}">
          <x14:id>{ED1D1E4B-5625-422D-80EB-0AEF7FB4D9E4}</x14:id>
        </ext>
      </extLst>
    </cfRule>
  </conditionalFormatting>
  <conditionalFormatting sqref="M17">
    <cfRule type="cellIs" dxfId="133" priority="11" operator="lessThan">
      <formula>0</formula>
    </cfRule>
    <cfRule type="cellIs" dxfId="132" priority="12" operator="lessThan">
      <formula>S17</formula>
    </cfRule>
    <cfRule type="cellIs" dxfId="131" priority="13" operator="lessThan">
      <formula>5</formula>
    </cfRule>
  </conditionalFormatting>
  <conditionalFormatting sqref="M17">
    <cfRule type="cellIs" dxfId="130" priority="10" operator="equal">
      <formula>"Done"</formula>
    </cfRule>
  </conditionalFormatting>
  <conditionalFormatting sqref="M23">
    <cfRule type="cellIs" dxfId="129" priority="7" operator="lessThan">
      <formula>0</formula>
    </cfRule>
    <cfRule type="cellIs" dxfId="128" priority="8" operator="lessThan">
      <formula>S23</formula>
    </cfRule>
    <cfRule type="cellIs" dxfId="127" priority="9" operator="lessThan">
      <formula>5</formula>
    </cfRule>
  </conditionalFormatting>
  <conditionalFormatting sqref="M23">
    <cfRule type="cellIs" dxfId="126" priority="6" operator="equal">
      <formula>"Done"</formula>
    </cfRule>
  </conditionalFormatting>
  <conditionalFormatting sqref="R14">
    <cfRule type="cellIs" dxfId="125" priority="4" operator="lessThan">
      <formula>R12</formula>
    </cfRule>
    <cfRule type="cellIs" dxfId="124" priority="5" operator="greaterThan">
      <formula>R12</formula>
    </cfRule>
  </conditionalFormatting>
  <conditionalFormatting sqref="R9">
    <cfRule type="cellIs" dxfId="123" priority="2" operator="lessThan">
      <formula>R7</formula>
    </cfRule>
    <cfRule type="cellIs" dxfId="122" priority="3" operator="greaterThan">
      <formula>R7</formula>
    </cfRule>
  </conditionalFormatting>
  <conditionalFormatting sqref="H4">
    <cfRule type="notContainsBlanks" dxfId="121" priority="1">
      <formula>LEN(TRIM(H4))&gt;0</formula>
    </cfRule>
  </conditionalFormatting>
  <dataValidations count="1">
    <dataValidation allowBlank="1" showInputMessage="1" showErrorMessage="1" sqref="F17 F13 O13:P13 O17:P17 F23 O23:P23" xr:uid="{62D392D3-6828-4384-A0E1-4F12534E48D4}"/>
  </dataValidations>
  <pageMargins left="0.7" right="0.7" top="0.78740157499999996" bottom="0.78740157499999996"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AA594159-32BC-4AF8-B30D-6B67F52DA3D3}">
            <x14:dataBar minLength="0" maxLength="100" gradient="0">
              <x14:cfvo type="num">
                <xm:f>0</xm:f>
              </x14:cfvo>
              <x14:cfvo type="num">
                <xm:f>1</xm:f>
              </x14:cfvo>
              <x14:negativeFillColor rgb="FFFF0000"/>
              <x14:axisColor rgb="FF000000"/>
            </x14:dataBar>
          </x14:cfRule>
          <xm:sqref>T3:T5</xm:sqref>
        </x14:conditionalFormatting>
        <x14:conditionalFormatting xmlns:xm="http://schemas.microsoft.com/office/excel/2006/main">
          <x14:cfRule type="dataBar" id="{FCD4F0B4-11B0-436B-8C24-BE57D4DA8625}">
            <x14:dataBar minLength="0" maxLength="100" gradient="0">
              <x14:cfvo type="num">
                <xm:f>0</xm:f>
              </x14:cfvo>
              <x14:cfvo type="num">
                <xm:f>1</xm:f>
              </x14:cfvo>
              <x14:negativeFillColor rgb="FFFF0000"/>
              <x14:axisColor rgb="FF000000"/>
            </x14:dataBar>
          </x14:cfRule>
          <xm:sqref>T8</xm:sqref>
        </x14:conditionalFormatting>
        <x14:conditionalFormatting xmlns:xm="http://schemas.microsoft.com/office/excel/2006/main">
          <x14:cfRule type="dataBar" id="{59D2F4A3-0E17-4D19-BC25-621B28341356}">
            <x14:dataBar minLength="0" maxLength="100" gradient="0">
              <x14:cfvo type="num">
                <xm:f>0</xm:f>
              </x14:cfvo>
              <x14:cfvo type="num">
                <xm:f>1</xm:f>
              </x14:cfvo>
              <x14:negativeFillColor rgb="FFFF0000"/>
              <x14:axisColor rgb="FF000000"/>
            </x14:dataBar>
          </x14:cfRule>
          <xm:sqref>T12</xm:sqref>
        </x14:conditionalFormatting>
        <x14:conditionalFormatting xmlns:xm="http://schemas.microsoft.com/office/excel/2006/main">
          <x14:cfRule type="dataBar" id="{F9CD2412-FA08-44B4-AB0B-4B95D7C2C847}">
            <x14:dataBar minLength="0" maxLength="100" gradient="0">
              <x14:cfvo type="num">
                <xm:f>0</xm:f>
              </x14:cfvo>
              <x14:cfvo type="num">
                <xm:f>1</xm:f>
              </x14:cfvo>
              <x14:negativeFillColor rgb="FFFF0000"/>
              <x14:axisColor rgb="FF000000"/>
            </x14:dataBar>
          </x14:cfRule>
          <xm:sqref>T14</xm:sqref>
        </x14:conditionalFormatting>
        <x14:conditionalFormatting xmlns:xm="http://schemas.microsoft.com/office/excel/2006/main">
          <x14:cfRule type="dataBar" id="{1ED819CD-08F8-4260-ADDC-6C59033A0875}">
            <x14:dataBar minLength="0" maxLength="100" gradient="0">
              <x14:cfvo type="num">
                <xm:f>0</xm:f>
              </x14:cfvo>
              <x14:cfvo type="num">
                <xm:f>1</xm:f>
              </x14:cfvo>
              <x14:negativeFillColor rgb="FFFF0000"/>
              <x14:axisColor rgb="FF000000"/>
            </x14:dataBar>
          </x14:cfRule>
          <xm:sqref>T16</xm:sqref>
        </x14:conditionalFormatting>
        <x14:conditionalFormatting xmlns:xm="http://schemas.microsoft.com/office/excel/2006/main">
          <x14:cfRule type="dataBar" id="{2A1620D4-D79E-4036-9F0E-D0B113E8ADF2}">
            <x14:dataBar minLength="0" maxLength="100" gradient="0">
              <x14:cfvo type="num">
                <xm:f>0</xm:f>
              </x14:cfvo>
              <x14:cfvo type="num">
                <xm:f>1</xm:f>
              </x14:cfvo>
              <x14:negativeFillColor rgb="FFFF0000"/>
              <x14:axisColor rgb="FF000000"/>
            </x14:dataBar>
          </x14:cfRule>
          <xm:sqref>T18</xm:sqref>
        </x14:conditionalFormatting>
        <x14:conditionalFormatting xmlns:xm="http://schemas.microsoft.com/office/excel/2006/main">
          <x14:cfRule type="dataBar" id="{F6536CC3-1C06-4D91-95D5-C8362A5FC2E6}">
            <x14:dataBar minLength="0" maxLength="100" gradient="0">
              <x14:cfvo type="num">
                <xm:f>0</xm:f>
              </x14:cfvo>
              <x14:cfvo type="num">
                <xm:f>1</xm:f>
              </x14:cfvo>
              <x14:negativeFillColor rgb="FFFF0000"/>
              <x14:axisColor rgb="FF000000"/>
            </x14:dataBar>
          </x14:cfRule>
          <xm:sqref>T9</xm:sqref>
        </x14:conditionalFormatting>
        <x14:conditionalFormatting xmlns:xm="http://schemas.microsoft.com/office/excel/2006/main">
          <x14:cfRule type="dataBar" id="{AB3B9BD5-8A48-4078-960B-DDE5A87874E7}">
            <x14:dataBar minLength="0" maxLength="100" gradient="0">
              <x14:cfvo type="num">
                <xm:f>0</xm:f>
              </x14:cfvo>
              <x14:cfvo type="num">
                <xm:f>1</xm:f>
              </x14:cfvo>
              <x14:negativeFillColor rgb="FFFF0000"/>
              <x14:axisColor rgb="FF000000"/>
            </x14:dataBar>
          </x14:cfRule>
          <xm:sqref>O13</xm:sqref>
        </x14:conditionalFormatting>
        <x14:conditionalFormatting xmlns:xm="http://schemas.microsoft.com/office/excel/2006/main">
          <x14:cfRule type="dataBar" id="{756A7357-D032-41F8-8D8F-6B03DF48FAC7}">
            <x14:dataBar minLength="0" maxLength="100" gradient="0">
              <x14:cfvo type="num">
                <xm:f>0</xm:f>
              </x14:cfvo>
              <x14:cfvo type="num">
                <xm:f>1</xm:f>
              </x14:cfvo>
              <x14:negativeFillColor rgb="FFFF0000"/>
              <x14:axisColor rgb="FF000000"/>
            </x14:dataBar>
          </x14:cfRule>
          <xm:sqref>K16</xm:sqref>
        </x14:conditionalFormatting>
        <x14:conditionalFormatting xmlns:xm="http://schemas.microsoft.com/office/excel/2006/main">
          <x14:cfRule type="dataBar" id="{B6FD2862-366B-4059-9CBA-E6612F0FB329}">
            <x14:dataBar minLength="0" maxLength="100" gradient="0">
              <x14:cfvo type="num">
                <xm:f>0</xm:f>
              </x14:cfvo>
              <x14:cfvo type="num">
                <xm:f>1</xm:f>
              </x14:cfvo>
              <x14:negativeFillColor rgb="FFFF0000"/>
              <x14:axisColor rgb="FF000000"/>
            </x14:dataBar>
          </x14:cfRule>
          <xm:sqref>K13</xm:sqref>
        </x14:conditionalFormatting>
        <x14:conditionalFormatting xmlns:xm="http://schemas.microsoft.com/office/excel/2006/main">
          <x14:cfRule type="dataBar" id="{39130CB1-50FA-4C1E-A2C9-46D8377D6413}">
            <x14:dataBar minLength="0" maxLength="100" gradient="0">
              <x14:cfvo type="num">
                <xm:f>0</xm:f>
              </x14:cfvo>
              <x14:cfvo type="num">
                <xm:f>1</xm:f>
              </x14:cfvo>
              <x14:negativeFillColor rgb="FFFF0000"/>
              <x14:axisColor rgb="FF000000"/>
            </x14:dataBar>
          </x14:cfRule>
          <xm:sqref>K12</xm:sqref>
        </x14:conditionalFormatting>
        <x14:conditionalFormatting xmlns:xm="http://schemas.microsoft.com/office/excel/2006/main">
          <x14:cfRule type="dataBar" id="{DF53366C-B1B2-4167-9F2D-A1C85587E53E}">
            <x14:dataBar minLength="0" maxLength="100" gradient="0">
              <x14:cfvo type="num">
                <xm:f>0</xm:f>
              </x14:cfvo>
              <x14:cfvo type="num">
                <xm:f>1</xm:f>
              </x14:cfvo>
              <x14:negativeFillColor rgb="FFFF0000"/>
              <x14:axisColor rgb="FF000000"/>
            </x14:dataBar>
          </x14:cfRule>
          <xm:sqref>K8</xm:sqref>
        </x14:conditionalFormatting>
        <x14:conditionalFormatting xmlns:xm="http://schemas.microsoft.com/office/excel/2006/main">
          <x14:cfRule type="dataBar" id="{DA834F19-CCD8-437D-861B-6DAC13F4807B}">
            <x14:dataBar minLength="0" maxLength="100" gradient="0">
              <x14:cfvo type="num">
                <xm:f>0</xm:f>
              </x14:cfvo>
              <x14:cfvo type="num">
                <xm:f>1</xm:f>
              </x14:cfvo>
              <x14:negativeFillColor rgb="FFFF0000"/>
              <x14:axisColor rgb="FF000000"/>
            </x14:dataBar>
          </x14:cfRule>
          <xm:sqref>O17</xm:sqref>
        </x14:conditionalFormatting>
        <x14:conditionalFormatting xmlns:xm="http://schemas.microsoft.com/office/excel/2006/main">
          <x14:cfRule type="dataBar" id="{0C7D1565-4D47-43CB-AE0E-2831A9C62E9F}">
            <x14:dataBar minLength="0" maxLength="100" gradient="0">
              <x14:cfvo type="num">
                <xm:f>0</xm:f>
              </x14:cfvo>
              <x14:cfvo type="num">
                <xm:f>1</xm:f>
              </x14:cfvo>
              <x14:negativeFillColor rgb="FFFF0000"/>
              <x14:axisColor rgb="FF000000"/>
            </x14:dataBar>
          </x14:cfRule>
          <xm:sqref>P13</xm:sqref>
        </x14:conditionalFormatting>
        <x14:conditionalFormatting xmlns:xm="http://schemas.microsoft.com/office/excel/2006/main">
          <x14:cfRule type="dataBar" id="{1BB06599-A2D6-45E5-9969-5F8D8FF84736}">
            <x14:dataBar minLength="0" maxLength="100" gradient="0">
              <x14:cfvo type="num">
                <xm:f>0</xm:f>
              </x14:cfvo>
              <x14:cfvo type="num">
                <xm:f>1</xm:f>
              </x14:cfvo>
              <x14:negativeFillColor rgb="FFFF0000"/>
              <x14:axisColor rgb="FF000000"/>
            </x14:dataBar>
          </x14:cfRule>
          <xm:sqref>P17</xm:sqref>
        </x14:conditionalFormatting>
        <x14:conditionalFormatting xmlns:xm="http://schemas.microsoft.com/office/excel/2006/main">
          <x14:cfRule type="dataBar" id="{1B573B78-662C-48FC-B01C-E5B0A422CD23}">
            <x14:dataBar minLength="0" maxLength="100" gradient="0">
              <x14:cfvo type="num">
                <xm:f>0</xm:f>
              </x14:cfvo>
              <x14:cfvo type="num">
                <xm:f>1</xm:f>
              </x14:cfvo>
              <x14:negativeFillColor rgb="FFFF0000"/>
              <x14:axisColor rgb="FF000000"/>
            </x14:dataBar>
          </x14:cfRule>
          <xm:sqref>P23</xm:sqref>
        </x14:conditionalFormatting>
        <x14:conditionalFormatting xmlns:xm="http://schemas.microsoft.com/office/excel/2006/main">
          <x14:cfRule type="dataBar" id="{F0B85BA2-F9AF-4853-AB72-C4F4EF45E39F}">
            <x14:dataBar minLength="0" maxLength="100" gradient="0">
              <x14:cfvo type="num">
                <xm:f>0</xm:f>
              </x14:cfvo>
              <x14:cfvo type="num">
                <xm:f>1</xm:f>
              </x14:cfvo>
              <x14:negativeFillColor rgb="FFFF0000"/>
              <x14:axisColor rgb="FF000000"/>
            </x14:dataBar>
          </x14:cfRule>
          <xm:sqref>O23</xm:sqref>
        </x14:conditionalFormatting>
        <x14:conditionalFormatting xmlns:xm="http://schemas.microsoft.com/office/excel/2006/main">
          <x14:cfRule type="dataBar" id="{2DBA07E9-4B30-41C7-84BD-F629ABB9819E}">
            <x14:dataBar minLength="0" maxLength="100" gradient="0">
              <x14:cfvo type="num">
                <xm:f>0</xm:f>
              </x14:cfvo>
              <x14:cfvo type="num">
                <xm:f>1</xm:f>
              </x14:cfvo>
              <x14:negativeFillColor rgb="FFFF0000"/>
              <x14:axisColor rgb="FF000000"/>
            </x14:dataBar>
          </x14:cfRule>
          <xm:sqref>K17</xm:sqref>
        </x14:conditionalFormatting>
        <x14:conditionalFormatting xmlns:xm="http://schemas.microsoft.com/office/excel/2006/main">
          <x14:cfRule type="dataBar" id="{ED1D1E4B-5625-422D-80EB-0AEF7FB4D9E4}">
            <x14:dataBar minLength="0" maxLength="100" gradient="0">
              <x14:cfvo type="num">
                <xm:f>0</xm:f>
              </x14:cfvo>
              <x14:cfvo type="num">
                <xm:f>1</xm:f>
              </x14:cfvo>
              <x14:negativeFillColor rgb="FFFF0000"/>
              <x14:axisColor rgb="FF000000"/>
            </x14:dataBar>
          </x14:cfRule>
          <xm:sqref>K23</xm:sqref>
        </x14:conditionalFormatting>
        <x14:conditionalFormatting xmlns:xm="http://schemas.microsoft.com/office/excel/2006/main">
          <x14:cfRule type="cellIs" priority="190" operator="lessThan" id="{5DB73633-60DE-481A-8909-C66910138D2B}">
            <xm:f>(1-Projekteinstellungen!$K$9)*$R$4</xm:f>
            <x14:dxf>
              <fill>
                <patternFill patternType="solid">
                  <fgColor auto="1"/>
                  <bgColor rgb="FFFFD966"/>
                </patternFill>
              </fill>
            </x14:dxf>
          </x14:cfRule>
          <x14:cfRule type="cellIs" priority="191" operator="greaterThan" id="{816F0CA1-F271-4F0E-810A-44D1C4FE4F75}">
            <xm:f>(1+Projekteinstellungen!$K$9)*$R$4</xm:f>
            <x14:dxf>
              <fill>
                <patternFill patternType="solid">
                  <fgColor auto="1"/>
                  <bgColor rgb="FFF55F5F"/>
                </patternFill>
              </fill>
            </x14:dxf>
          </x14:cfRule>
          <xm:sqref>R5</xm:sqref>
        </x14:conditionalFormatting>
        <x14:conditionalFormatting xmlns:xm="http://schemas.microsoft.com/office/excel/2006/main">
          <x14:cfRule type="cellIs" priority="261" operator="greaterThanOrEqual" id="{2E8D4E91-6D8A-428E-BF98-A6255F3E1C7A}">
            <xm:f>Projekteinstellungen!$C$9</xm:f>
            <x14:dxf>
              <fill>
                <patternFill patternType="solid">
                  <fgColor auto="1"/>
                  <bgColor rgb="FFF55F5F"/>
                </patternFill>
              </fill>
            </x14:dxf>
          </x14:cfRule>
          <xm:sqref>W8</xm:sqref>
        </x14:conditionalFormatting>
        <x14:conditionalFormatting xmlns:xm="http://schemas.microsoft.com/office/excel/2006/main">
          <x14:cfRule type="cellIs" priority="211" operator="greaterThanOrEqual" id="{9BB71771-CBA8-4EDB-A727-A982BC476463}">
            <xm:f>Projekteinstellungen!$C$9</xm:f>
            <x14:dxf>
              <fill>
                <patternFill patternType="solid">
                  <fgColor auto="1"/>
                  <bgColor rgb="FFF55F5F"/>
                </patternFill>
              </fill>
            </x14:dxf>
          </x14:cfRule>
          <xm:sqref>W3:W4</xm:sqref>
        </x14:conditionalFormatting>
        <x14:conditionalFormatting xmlns:xm="http://schemas.microsoft.com/office/excel/2006/main">
          <x14:cfRule type="cellIs" priority="207" operator="greaterThanOrEqual" id="{8EFBA773-BFF2-4CD3-A6DA-9AD4FA188075}">
            <xm:f>Projekteinstellungen!$C$9</xm:f>
            <x14:dxf>
              <fill>
                <patternFill patternType="solid">
                  <fgColor auto="1"/>
                  <bgColor rgb="FFF55F5F"/>
                </patternFill>
              </fill>
            </x14:dxf>
          </x14:cfRule>
          <xm:sqref>W12</xm:sqref>
        </x14:conditionalFormatting>
        <x14:conditionalFormatting xmlns:xm="http://schemas.microsoft.com/office/excel/2006/main">
          <x14:cfRule type="cellIs" priority="203" operator="greaterThanOrEqual" id="{A985F283-D63B-44F8-82D1-43E4234D4409}">
            <xm:f>Projekteinstellungen!$C$9</xm:f>
            <x14:dxf>
              <fill>
                <patternFill patternType="solid">
                  <fgColor auto="1"/>
                  <bgColor rgb="FFF55F5F"/>
                </patternFill>
              </fill>
            </x14:dxf>
          </x14:cfRule>
          <xm:sqref>W16</xm:sqref>
        </x14:conditionalFormatting>
        <x14:conditionalFormatting xmlns:xm="http://schemas.microsoft.com/office/excel/2006/main">
          <x14:cfRule type="cellIs" priority="187" operator="greaterThan" id="{42675F92-30E5-418C-9062-5536E9E7AC1D}">
            <xm:f>(1+Projekteinstellungen!$K$9)*$S$4</xm:f>
            <x14:dxf>
              <fill>
                <patternFill patternType="solid">
                  <fgColor auto="1"/>
                  <bgColor rgb="FFF55F5F"/>
                </patternFill>
              </fill>
            </x14:dxf>
          </x14:cfRule>
          <xm:sqref>S5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B687AB10-8CB1-4593-8FAB-D0D34019BA04}">
          <x14:formula1>
            <xm:f>Projekteinstellungen!$B$32:$B$33</xm:f>
          </x14:formula1>
          <xm:sqref>E13 E17 E23</xm:sqref>
        </x14:dataValidation>
        <x14:dataValidation type="list" allowBlank="1" showInputMessage="1" showErrorMessage="1" xr:uid="{B45BED4B-7CD4-4A6E-8DCD-4A3CC47E80E3}">
          <x14:formula1>
            <xm:f>Projekteinstellungen!$B$37:$B$57</xm:f>
          </x14:formula1>
          <xm:sqref>N23 N16:N17 N4 N12:N13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7E914-350E-4E76-AFA5-EFC7E8DE530A}">
  <sheetPr codeName="Tabelle5">
    <outlinePr summaryBelow="0"/>
  </sheetPr>
  <dimension ref="A1:I12"/>
  <sheetViews>
    <sheetView showGridLines="0" workbookViewId="0">
      <selection activeCell="G31" sqref="G31"/>
    </sheetView>
  </sheetViews>
  <sheetFormatPr baseColWidth="10" defaultRowHeight="15" outlineLevelRow="1"/>
  <cols>
    <col min="1" max="1" width="2.85546875" style="60" customWidth="1"/>
    <col min="2" max="2" width="2.85546875" style="80" customWidth="1"/>
    <col min="3" max="3" width="14.42578125" customWidth="1"/>
    <col min="4" max="4" width="55" customWidth="1"/>
    <col min="5" max="5" width="12.85546875" customWidth="1"/>
    <col min="6" max="6" width="12.140625" customWidth="1"/>
    <col min="8" max="8" width="12.5703125" customWidth="1"/>
  </cols>
  <sheetData>
    <row r="1" spans="1:9">
      <c r="A1" s="473" t="s">
        <v>88</v>
      </c>
      <c r="B1" s="79"/>
    </row>
    <row r="2" spans="1:9">
      <c r="A2" s="473"/>
      <c r="B2" s="79"/>
      <c r="C2" s="470" t="s">
        <v>104</v>
      </c>
      <c r="D2" s="471"/>
      <c r="E2" s="471"/>
      <c r="F2" s="471"/>
      <c r="G2" s="471"/>
      <c r="H2" s="471"/>
      <c r="I2" s="472"/>
    </row>
    <row r="3" spans="1:9">
      <c r="A3" s="473"/>
      <c r="B3" s="79"/>
      <c r="C3" s="72" t="s">
        <v>101</v>
      </c>
      <c r="D3" s="73" t="s">
        <v>98</v>
      </c>
      <c r="E3" s="84" t="s">
        <v>38</v>
      </c>
      <c r="F3" s="84" t="s">
        <v>106</v>
      </c>
      <c r="G3" s="84" t="s">
        <v>103</v>
      </c>
      <c r="H3" s="84" t="s">
        <v>3</v>
      </c>
      <c r="I3" s="85" t="s">
        <v>105</v>
      </c>
    </row>
    <row r="4" spans="1:9" collapsed="1">
      <c r="C4" s="77" t="s">
        <v>25</v>
      </c>
      <c r="D4" s="78"/>
      <c r="E4" s="78"/>
      <c r="F4" s="78"/>
      <c r="G4" s="81">
        <f>SUM(G5:G6)</f>
        <v>12</v>
      </c>
      <c r="H4" s="81">
        <f>0.6*40</f>
        <v>24</v>
      </c>
      <c r="I4" s="82">
        <f>G4-H4</f>
        <v>-12</v>
      </c>
    </row>
    <row r="5" spans="1:9" hidden="1" outlineLevel="1">
      <c r="C5" s="87"/>
      <c r="D5" t="s">
        <v>102</v>
      </c>
      <c r="E5" s="86">
        <v>45078</v>
      </c>
      <c r="F5" s="13">
        <f ca="1">NETWORKDAYS(TODAY(),E5)</f>
        <v>-102</v>
      </c>
      <c r="G5" s="13">
        <v>12</v>
      </c>
      <c r="H5" s="13"/>
      <c r="I5" s="83"/>
    </row>
    <row r="6" spans="1:9" hidden="1" outlineLevel="1">
      <c r="C6" s="75"/>
      <c r="D6" s="76"/>
      <c r="E6" s="51"/>
      <c r="F6" s="51"/>
      <c r="G6" s="51"/>
      <c r="H6" s="51"/>
      <c r="I6" s="52"/>
    </row>
    <row r="7" spans="1:9" collapsed="1">
      <c r="C7" s="77" t="s">
        <v>27</v>
      </c>
      <c r="D7" s="78"/>
      <c r="E7" s="81"/>
      <c r="F7" s="81"/>
      <c r="G7" s="81">
        <f>SUM(G8:G8)</f>
        <v>12</v>
      </c>
      <c r="H7" s="81">
        <f>0.6*40</f>
        <v>24</v>
      </c>
      <c r="I7" s="82">
        <f>G7-H7</f>
        <v>-12</v>
      </c>
    </row>
    <row r="8" spans="1:9" hidden="1" outlineLevel="1">
      <c r="C8" s="74"/>
      <c r="D8" t="s">
        <v>102</v>
      </c>
      <c r="E8" s="86">
        <v>45078</v>
      </c>
      <c r="F8" s="13">
        <f ca="1">NETWORKDAYS(TODAY(),E8)</f>
        <v>-102</v>
      </c>
      <c r="G8" s="13">
        <v>12</v>
      </c>
      <c r="H8" s="13"/>
      <c r="I8" s="83"/>
    </row>
    <row r="9" spans="1:9" hidden="1" outlineLevel="1">
      <c r="C9" s="75"/>
      <c r="D9" s="76"/>
      <c r="E9" s="51"/>
      <c r="F9" s="51"/>
      <c r="G9" s="51"/>
      <c r="H9" s="51"/>
      <c r="I9" s="52"/>
    </row>
    <row r="10" spans="1:9" collapsed="1">
      <c r="C10" s="77" t="s">
        <v>29</v>
      </c>
      <c r="D10" s="78"/>
      <c r="E10" s="81"/>
      <c r="F10" s="81"/>
      <c r="G10" s="81">
        <f>SUM(G11:G11)</f>
        <v>12</v>
      </c>
      <c r="H10" s="81">
        <f>0.6*40</f>
        <v>24</v>
      </c>
      <c r="I10" s="82">
        <f>G10-H10</f>
        <v>-12</v>
      </c>
    </row>
    <row r="11" spans="1:9" hidden="1" outlineLevel="1">
      <c r="C11" s="74"/>
      <c r="D11" t="s">
        <v>102</v>
      </c>
      <c r="E11" s="86">
        <v>45078</v>
      </c>
      <c r="F11" s="13">
        <f ca="1">NETWORKDAYS(TODAY(),E11)</f>
        <v>-102</v>
      </c>
      <c r="G11" s="13">
        <v>12</v>
      </c>
      <c r="H11" s="13"/>
      <c r="I11" s="83"/>
    </row>
    <row r="12" spans="1:9" hidden="1" outlineLevel="1">
      <c r="C12" s="75"/>
      <c r="D12" s="76"/>
      <c r="E12" s="51"/>
      <c r="F12" s="51"/>
      <c r="G12" s="51"/>
      <c r="H12" s="51"/>
      <c r="I12" s="52"/>
    </row>
  </sheetData>
  <mergeCells count="2">
    <mergeCell ref="C2:I2"/>
    <mergeCell ref="A1:A3"/>
  </mergeCells>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452F8-5BB4-46F1-B550-BBE172231B98}">
  <sheetPr codeName="Tabelle8"/>
  <dimension ref="B2:L151"/>
  <sheetViews>
    <sheetView showGridLines="0" topLeftCell="A120" workbookViewId="0">
      <selection activeCell="H125" sqref="H125:H127"/>
    </sheetView>
  </sheetViews>
  <sheetFormatPr baseColWidth="10" defaultRowHeight="15"/>
  <cols>
    <col min="1" max="1" width="3" customWidth="1"/>
    <col min="2" max="2" width="20" customWidth="1"/>
    <col min="4" max="4" width="16.7109375" customWidth="1"/>
    <col min="5" max="19" width="18.7109375" customWidth="1"/>
  </cols>
  <sheetData>
    <row r="2" spans="2:12" ht="15.75" thickBot="1">
      <c r="B2" s="480" t="s">
        <v>95</v>
      </c>
      <c r="C2" s="480"/>
      <c r="D2" s="480"/>
      <c r="E2" s="480"/>
      <c r="F2" s="480"/>
      <c r="G2" s="480"/>
      <c r="H2" s="480"/>
      <c r="I2" s="480"/>
      <c r="J2" s="480"/>
      <c r="K2" s="480"/>
      <c r="L2" s="480"/>
    </row>
    <row r="4" spans="2:12">
      <c r="D4" s="13" t="s">
        <v>43</v>
      </c>
      <c r="E4" s="65" t="s">
        <v>258</v>
      </c>
      <c r="F4" s="65" t="s">
        <v>332</v>
      </c>
      <c r="G4" s="65" t="s">
        <v>335</v>
      </c>
      <c r="H4" s="65" t="s">
        <v>344</v>
      </c>
    </row>
    <row r="5" spans="2:12">
      <c r="B5" s="63" t="s">
        <v>40</v>
      </c>
      <c r="C5" s="64">
        <f>COUNTIF(Tab_BudgetAmpelUnterpositionen[],B5)</f>
        <v>1</v>
      </c>
      <c r="D5" s="13">
        <v>1</v>
      </c>
      <c r="E5" s="14" t="str">
        <f>IF('1. Software Entwicklungssuppor'!$W$8="","LEER",IF('1. Software Entwicklungssuppor'!$W$8&gt;=Projekteinstellungen!$C$9, "Warnstufe",IF('1. Software Entwicklungssuppor'!$W$8&gt;0,"geringe Abweichung","on track")))</f>
        <v>Warnstufe</v>
      </c>
      <c r="F5" s="321"/>
      <c r="G5" s="321" t="str">
        <f>IF('3. Support Task Force'!$W$8="","LEER",IF('3. Support Task Force'!$W$8&gt;=Projekteinstellungen!$C$9, "Warnstufe",IF('3. Support Task Force'!$W$8&gt;0,"geringe Abweichung","on track")))</f>
        <v>Warnstufe</v>
      </c>
      <c r="H5" s="321"/>
    </row>
    <row r="6" spans="2:12">
      <c r="B6" s="63" t="s">
        <v>41</v>
      </c>
      <c r="C6" s="64">
        <f>COUNTIF(Tab_BudgetAmpelUnterpositionen[],B6)</f>
        <v>0</v>
      </c>
      <c r="D6" s="13">
        <v>2</v>
      </c>
      <c r="E6" s="15" t="str">
        <f>IF('1. Software Entwicklungssuppor'!$W$147="","LEER",IF('1. Software Entwicklungssuppor'!$W$147&gt;=Projekteinstellungen!$C$9, "Warnstufe",IF('1. Software Entwicklungssuppor'!$W$147&gt;0,"geringe Abweichung","on track")))</f>
        <v>Warnstufe</v>
      </c>
      <c r="F6" s="15"/>
      <c r="G6" s="15" t="str">
        <f>IF('3. Support Task Force'!$W$13="","LEER",IF('3. Support Task Force'!$W$13&gt;=Projekteinstellungen!$C$9, "Warnstufe",IF('3. Support Task Force'!$W$13&gt;0,"geringe Abweichung","on track")))</f>
        <v>on track</v>
      </c>
      <c r="H6" s="15"/>
    </row>
    <row r="7" spans="2:12">
      <c r="B7" s="63" t="s">
        <v>42</v>
      </c>
      <c r="C7" s="64">
        <f>COUNTIF(Tab_BudgetAmpelUnterpositionen[],B7)</f>
        <v>4</v>
      </c>
      <c r="D7" s="13">
        <v>3</v>
      </c>
      <c r="E7" s="15"/>
      <c r="F7" s="15"/>
      <c r="G7" s="15" t="str">
        <f>IF('3. Support Task Force'!$W$18="","LEER",IF('3. Support Task Force'!$W$18&gt;=Projekteinstellungen!$C$9, "Warnstufe",IF('3. Support Task Force'!$W$18&gt;0,"geringe Abweichung","on track")))</f>
        <v>Warnstufe</v>
      </c>
      <c r="H7" s="15"/>
    </row>
    <row r="8" spans="2:12">
      <c r="D8" s="13">
        <v>4</v>
      </c>
      <c r="E8" s="15"/>
      <c r="F8" s="15"/>
      <c r="G8" s="15"/>
      <c r="H8" s="15"/>
    </row>
    <row r="9" spans="2:12">
      <c r="D9" s="13">
        <v>5</v>
      </c>
      <c r="E9" s="15"/>
      <c r="F9" s="15"/>
      <c r="G9" s="15"/>
      <c r="H9" s="15"/>
    </row>
    <row r="10" spans="2:12">
      <c r="D10" s="13">
        <v>6</v>
      </c>
      <c r="E10" s="15"/>
      <c r="F10" s="15"/>
      <c r="G10" s="15"/>
      <c r="H10" s="15"/>
    </row>
    <row r="11" spans="2:12">
      <c r="D11" s="13">
        <v>7</v>
      </c>
      <c r="E11" s="15"/>
      <c r="F11" s="15"/>
      <c r="G11" s="15"/>
      <c r="H11" s="15"/>
    </row>
    <row r="12" spans="2:12">
      <c r="D12" s="13">
        <v>8</v>
      </c>
      <c r="E12" s="15"/>
      <c r="F12" s="15"/>
      <c r="G12" s="15"/>
      <c r="H12" s="15"/>
    </row>
    <row r="13" spans="2:12">
      <c r="D13" s="13">
        <v>9</v>
      </c>
      <c r="E13" s="15"/>
      <c r="F13" s="15"/>
      <c r="G13" s="15"/>
      <c r="H13" s="15"/>
    </row>
    <row r="14" spans="2:12">
      <c r="D14" s="13">
        <v>10</v>
      </c>
      <c r="E14" s="15"/>
      <c r="F14" s="15"/>
      <c r="G14" s="15"/>
      <c r="H14" s="15"/>
    </row>
    <row r="15" spans="2:12">
      <c r="D15" s="13">
        <v>11</v>
      </c>
      <c r="E15" s="15"/>
      <c r="F15" s="15"/>
      <c r="G15" s="15"/>
      <c r="H15" s="15"/>
    </row>
    <row r="16" spans="2:12">
      <c r="D16" s="13">
        <v>12</v>
      </c>
      <c r="E16" s="15"/>
      <c r="F16" s="15"/>
      <c r="G16" s="15"/>
      <c r="H16" s="15"/>
    </row>
    <row r="17" spans="4:8">
      <c r="D17" s="13">
        <v>13</v>
      </c>
      <c r="E17" s="15"/>
      <c r="F17" s="15"/>
      <c r="G17" s="15"/>
      <c r="H17" s="15"/>
    </row>
    <row r="18" spans="4:8">
      <c r="D18" s="13">
        <v>14</v>
      </c>
      <c r="E18" s="15"/>
      <c r="F18" s="15"/>
      <c r="G18" s="15"/>
      <c r="H18" s="15"/>
    </row>
    <row r="19" spans="4:8">
      <c r="D19" s="13">
        <v>15</v>
      </c>
      <c r="E19" s="15"/>
      <c r="F19" s="15"/>
      <c r="G19" s="15"/>
      <c r="H19" s="15"/>
    </row>
    <row r="20" spans="4:8">
      <c r="D20" s="13">
        <v>16</v>
      </c>
      <c r="E20" s="15"/>
      <c r="F20" s="15"/>
      <c r="G20" s="15"/>
      <c r="H20" s="15"/>
    </row>
    <row r="21" spans="4:8">
      <c r="D21" s="13">
        <v>17</v>
      </c>
      <c r="E21" s="15"/>
      <c r="F21" s="15"/>
      <c r="G21" s="15"/>
      <c r="H21" s="15"/>
    </row>
    <row r="22" spans="4:8">
      <c r="D22" s="13">
        <v>18</v>
      </c>
      <c r="E22" s="15"/>
      <c r="F22" s="15"/>
      <c r="G22" s="15"/>
      <c r="H22" s="15"/>
    </row>
    <row r="23" spans="4:8">
      <c r="D23" s="13">
        <v>19</v>
      </c>
      <c r="E23" s="15"/>
      <c r="F23" s="15"/>
      <c r="G23" s="15"/>
      <c r="H23" s="15"/>
    </row>
    <row r="24" spans="4:8">
      <c r="D24" s="13">
        <v>20</v>
      </c>
      <c r="E24" s="15"/>
      <c r="F24" s="15"/>
      <c r="G24" s="15"/>
      <c r="H24" s="15"/>
    </row>
    <row r="25" spans="4:8">
      <c r="D25" s="13">
        <v>21</v>
      </c>
      <c r="E25" s="15"/>
      <c r="F25" s="15"/>
      <c r="G25" s="15"/>
      <c r="H25" s="15"/>
    </row>
    <row r="26" spans="4:8">
      <c r="D26" s="13">
        <v>22</v>
      </c>
      <c r="E26" s="15"/>
      <c r="F26" s="15"/>
      <c r="G26" s="15"/>
      <c r="H26" s="15"/>
    </row>
    <row r="27" spans="4:8">
      <c r="D27" s="13">
        <v>23</v>
      </c>
      <c r="E27" s="15"/>
      <c r="F27" s="15"/>
      <c r="G27" s="15"/>
      <c r="H27" s="15"/>
    </row>
    <row r="28" spans="4:8">
      <c r="D28" s="13">
        <v>24</v>
      </c>
      <c r="E28" s="15"/>
      <c r="F28" s="15"/>
      <c r="G28" s="15"/>
      <c r="H28" s="15"/>
    </row>
    <row r="29" spans="4:8">
      <c r="D29" s="13">
        <v>25</v>
      </c>
      <c r="E29" s="15"/>
      <c r="F29" s="15"/>
      <c r="G29" s="15"/>
      <c r="H29" s="15"/>
    </row>
    <row r="30" spans="4:8">
      <c r="D30" s="13">
        <v>26</v>
      </c>
      <c r="E30" s="15"/>
      <c r="F30" s="15"/>
      <c r="G30" s="15"/>
      <c r="H30" s="15"/>
    </row>
    <row r="31" spans="4:8">
      <c r="D31" s="13">
        <v>27</v>
      </c>
      <c r="E31" s="15"/>
      <c r="F31" s="15"/>
      <c r="G31" s="15"/>
      <c r="H31" s="15"/>
    </row>
    <row r="32" spans="4:8">
      <c r="D32" s="13">
        <v>28</v>
      </c>
      <c r="E32" s="15"/>
      <c r="F32" s="15"/>
      <c r="G32" s="15"/>
      <c r="H32" s="15"/>
    </row>
    <row r="33" spans="4:8">
      <c r="D33" s="13">
        <v>29</v>
      </c>
      <c r="E33" s="15"/>
      <c r="F33" s="15"/>
      <c r="G33" s="15"/>
      <c r="H33" s="15"/>
    </row>
    <row r="34" spans="4:8">
      <c r="D34" s="13">
        <v>30</v>
      </c>
      <c r="E34" s="15"/>
      <c r="F34" s="15"/>
      <c r="G34" s="15"/>
      <c r="H34" s="15"/>
    </row>
    <row r="35" spans="4:8">
      <c r="D35" s="13">
        <v>31</v>
      </c>
      <c r="E35" s="15"/>
      <c r="F35" s="15"/>
      <c r="G35" s="15"/>
      <c r="H35" s="15"/>
    </row>
    <row r="36" spans="4:8">
      <c r="D36" s="13">
        <v>32</v>
      </c>
      <c r="E36" s="15"/>
      <c r="F36" s="15"/>
      <c r="G36" s="15"/>
      <c r="H36" s="15"/>
    </row>
    <row r="37" spans="4:8">
      <c r="D37" s="13">
        <v>33</v>
      </c>
      <c r="E37" s="15"/>
      <c r="F37" s="15"/>
      <c r="G37" s="15"/>
      <c r="H37" s="15"/>
    </row>
    <row r="38" spans="4:8">
      <c r="D38" s="13">
        <v>34</v>
      </c>
      <c r="E38" s="15"/>
      <c r="F38" s="15"/>
      <c r="G38" s="15"/>
      <c r="H38" s="15"/>
    </row>
    <row r="39" spans="4:8">
      <c r="D39" s="13">
        <v>35</v>
      </c>
      <c r="E39" s="15"/>
      <c r="F39" s="15"/>
      <c r="G39" s="15"/>
      <c r="H39" s="15"/>
    </row>
    <row r="40" spans="4:8">
      <c r="D40" s="13">
        <v>36</v>
      </c>
      <c r="E40" s="15"/>
      <c r="F40" s="15"/>
      <c r="G40" s="15"/>
      <c r="H40" s="15"/>
    </row>
    <row r="41" spans="4:8">
      <c r="D41" s="13">
        <v>37</v>
      </c>
      <c r="E41" s="15"/>
      <c r="F41" s="15"/>
      <c r="G41" s="15"/>
      <c r="H41" s="15"/>
    </row>
    <row r="42" spans="4:8">
      <c r="D42" s="13">
        <v>38</v>
      </c>
      <c r="E42" s="15"/>
      <c r="F42" s="15"/>
      <c r="G42" s="15"/>
      <c r="H42" s="15"/>
    </row>
    <row r="43" spans="4:8">
      <c r="D43" s="13">
        <v>39</v>
      </c>
      <c r="E43" s="15"/>
      <c r="F43" s="15"/>
      <c r="G43" s="15"/>
      <c r="H43" s="15"/>
    </row>
    <row r="44" spans="4:8">
      <c r="D44" s="13">
        <v>40</v>
      </c>
      <c r="E44" s="14"/>
      <c r="F44" s="15"/>
      <c r="G44" s="15"/>
      <c r="H44" s="15"/>
    </row>
    <row r="45" spans="4:8">
      <c r="D45" s="13">
        <v>41</v>
      </c>
      <c r="E45" s="14"/>
      <c r="F45" s="15"/>
      <c r="G45" s="15"/>
      <c r="H45" s="15"/>
    </row>
    <row r="46" spans="4:8">
      <c r="D46" s="13">
        <v>42</v>
      </c>
      <c r="E46" s="14"/>
      <c r="F46" s="15"/>
      <c r="G46" s="15"/>
      <c r="H46" s="15"/>
    </row>
    <row r="47" spans="4:8">
      <c r="D47" s="13">
        <v>43</v>
      </c>
      <c r="E47" s="14"/>
      <c r="F47" s="15"/>
      <c r="G47" s="15"/>
      <c r="H47" s="15"/>
    </row>
    <row r="48" spans="4:8">
      <c r="D48" s="13">
        <v>44</v>
      </c>
      <c r="E48" s="14"/>
      <c r="F48" s="15"/>
      <c r="G48" s="15"/>
      <c r="H48" s="15"/>
    </row>
    <row r="49" spans="4:8">
      <c r="D49" s="13">
        <v>45</v>
      </c>
      <c r="E49" s="14"/>
      <c r="F49" s="15"/>
      <c r="G49" s="15"/>
      <c r="H49" s="15"/>
    </row>
    <row r="50" spans="4:8">
      <c r="D50" s="13">
        <v>46</v>
      </c>
      <c r="E50" s="14"/>
      <c r="F50" s="15"/>
      <c r="G50" s="15"/>
      <c r="H50" s="15"/>
    </row>
    <row r="51" spans="4:8">
      <c r="D51" s="13">
        <v>47</v>
      </c>
      <c r="E51" s="14"/>
      <c r="F51" s="15"/>
      <c r="G51" s="15"/>
      <c r="H51" s="15"/>
    </row>
    <row r="52" spans="4:8">
      <c r="D52" s="13">
        <v>48</v>
      </c>
      <c r="E52" s="14"/>
      <c r="F52" s="15"/>
      <c r="G52" s="15"/>
      <c r="H52" s="15"/>
    </row>
    <row r="53" spans="4:8">
      <c r="D53" s="13">
        <v>49</v>
      </c>
      <c r="E53" s="14"/>
      <c r="F53" s="15"/>
      <c r="G53" s="15"/>
      <c r="H53" s="15"/>
    </row>
    <row r="54" spans="4:8">
      <c r="D54" s="13">
        <v>50</v>
      </c>
      <c r="E54" s="14"/>
      <c r="F54" s="15"/>
      <c r="G54" s="15"/>
      <c r="H54" s="15"/>
    </row>
    <row r="55" spans="4:8">
      <c r="D55" s="13">
        <v>51</v>
      </c>
      <c r="E55" s="14"/>
      <c r="F55" s="15"/>
      <c r="G55" s="15"/>
      <c r="H55" s="15"/>
    </row>
    <row r="56" spans="4:8">
      <c r="D56" s="13">
        <v>52</v>
      </c>
      <c r="E56" s="14"/>
      <c r="F56" s="15"/>
      <c r="G56" s="15"/>
      <c r="H56" s="15"/>
    </row>
    <row r="57" spans="4:8">
      <c r="D57" s="13">
        <v>53</v>
      </c>
      <c r="E57" s="14"/>
      <c r="F57" s="15"/>
      <c r="G57" s="15"/>
      <c r="H57" s="15"/>
    </row>
    <row r="58" spans="4:8">
      <c r="D58" s="13">
        <v>54</v>
      </c>
      <c r="E58" s="14"/>
      <c r="F58" s="15"/>
      <c r="G58" s="15"/>
      <c r="H58" s="15"/>
    </row>
    <row r="59" spans="4:8">
      <c r="D59" s="13">
        <v>55</v>
      </c>
      <c r="E59" s="14"/>
      <c r="F59" s="15"/>
      <c r="G59" s="15"/>
      <c r="H59" s="15"/>
    </row>
    <row r="60" spans="4:8">
      <c r="D60" s="13">
        <v>56</v>
      </c>
      <c r="E60" s="14"/>
      <c r="F60" s="15"/>
      <c r="G60" s="15"/>
      <c r="H60" s="15"/>
    </row>
    <row r="61" spans="4:8">
      <c r="D61" s="13">
        <v>57</v>
      </c>
      <c r="E61" s="14"/>
      <c r="F61" s="15"/>
      <c r="G61" s="15"/>
      <c r="H61" s="15"/>
    </row>
    <row r="62" spans="4:8">
      <c r="D62" s="13">
        <v>58</v>
      </c>
      <c r="E62" s="14"/>
      <c r="F62" s="15"/>
      <c r="G62" s="15"/>
      <c r="H62" s="15"/>
    </row>
    <row r="63" spans="4:8">
      <c r="D63" s="13">
        <v>59</v>
      </c>
      <c r="E63" s="14"/>
      <c r="F63" s="15"/>
      <c r="G63" s="15"/>
      <c r="H63" s="15"/>
    </row>
    <row r="64" spans="4:8">
      <c r="D64" s="13">
        <v>60</v>
      </c>
      <c r="E64" s="14"/>
      <c r="F64" s="15"/>
      <c r="G64" s="15"/>
      <c r="H64" s="15"/>
    </row>
    <row r="65" spans="4:8">
      <c r="D65" s="13">
        <v>61</v>
      </c>
      <c r="E65" s="14"/>
      <c r="F65" s="15"/>
      <c r="G65" s="15"/>
      <c r="H65" s="15"/>
    </row>
    <row r="66" spans="4:8">
      <c r="D66" s="13">
        <v>62</v>
      </c>
      <c r="E66" s="14"/>
      <c r="F66" s="15"/>
      <c r="G66" s="15"/>
      <c r="H66" s="15"/>
    </row>
    <row r="67" spans="4:8">
      <c r="D67" s="13">
        <v>63</v>
      </c>
      <c r="E67" s="14"/>
      <c r="F67" s="15"/>
      <c r="G67" s="15"/>
      <c r="H67" s="15"/>
    </row>
    <row r="68" spans="4:8">
      <c r="D68" s="13">
        <v>64</v>
      </c>
      <c r="E68" s="14"/>
      <c r="F68" s="15"/>
      <c r="G68" s="15"/>
      <c r="H68" s="15"/>
    </row>
    <row r="69" spans="4:8">
      <c r="D69" s="13">
        <v>65</v>
      </c>
      <c r="E69" s="14"/>
      <c r="F69" s="15"/>
      <c r="G69" s="15"/>
      <c r="H69" s="15"/>
    </row>
    <row r="70" spans="4:8">
      <c r="D70" s="13">
        <v>66</v>
      </c>
      <c r="E70" s="14"/>
      <c r="F70" s="15"/>
      <c r="G70" s="15"/>
      <c r="H70" s="15"/>
    </row>
    <row r="71" spans="4:8">
      <c r="D71" s="13">
        <v>67</v>
      </c>
      <c r="E71" s="14"/>
      <c r="F71" s="15"/>
      <c r="G71" s="15"/>
      <c r="H71" s="15"/>
    </row>
    <row r="72" spans="4:8">
      <c r="D72" s="13">
        <v>68</v>
      </c>
      <c r="E72" s="14"/>
      <c r="F72" s="15"/>
      <c r="G72" s="15"/>
      <c r="H72" s="15"/>
    </row>
    <row r="73" spans="4:8">
      <c r="D73" s="13">
        <v>69</v>
      </c>
      <c r="E73" s="14"/>
      <c r="F73" s="15"/>
      <c r="G73" s="15"/>
      <c r="H73" s="15"/>
    </row>
    <row r="74" spans="4:8">
      <c r="D74" s="13">
        <v>70</v>
      </c>
      <c r="E74" s="14"/>
      <c r="F74" s="15"/>
      <c r="G74" s="15"/>
      <c r="H74" s="15"/>
    </row>
    <row r="75" spans="4:8">
      <c r="D75" s="13">
        <v>71</v>
      </c>
      <c r="E75" s="14"/>
      <c r="F75" s="15"/>
      <c r="G75" s="15"/>
      <c r="H75" s="15"/>
    </row>
    <row r="76" spans="4:8">
      <c r="D76" s="13">
        <v>72</v>
      </c>
      <c r="E76" s="14"/>
      <c r="F76" s="15"/>
      <c r="G76" s="15"/>
      <c r="H76" s="15"/>
    </row>
    <row r="77" spans="4:8">
      <c r="D77" s="13">
        <v>73</v>
      </c>
      <c r="E77" s="14"/>
      <c r="F77" s="15"/>
      <c r="G77" s="15"/>
      <c r="H77" s="15"/>
    </row>
    <row r="78" spans="4:8">
      <c r="D78" s="13">
        <v>74</v>
      </c>
      <c r="E78" s="14"/>
      <c r="F78" s="15"/>
      <c r="G78" s="15"/>
      <c r="H78" s="15"/>
    </row>
    <row r="79" spans="4:8">
      <c r="D79" s="13">
        <v>75</v>
      </c>
      <c r="E79" s="14"/>
      <c r="F79" s="15"/>
      <c r="G79" s="15"/>
      <c r="H79" s="15"/>
    </row>
    <row r="80" spans="4:8">
      <c r="D80" s="13">
        <v>76</v>
      </c>
      <c r="E80" s="14"/>
      <c r="F80" s="15"/>
      <c r="G80" s="15"/>
      <c r="H80" s="15"/>
    </row>
    <row r="81" spans="4:8">
      <c r="D81" s="13">
        <v>77</v>
      </c>
      <c r="E81" s="14"/>
      <c r="F81" s="15"/>
      <c r="G81" s="15"/>
      <c r="H81" s="15"/>
    </row>
    <row r="82" spans="4:8">
      <c r="D82" s="13">
        <v>78</v>
      </c>
      <c r="E82" s="14"/>
      <c r="F82" s="15"/>
      <c r="G82" s="15"/>
      <c r="H82" s="15"/>
    </row>
    <row r="83" spans="4:8">
      <c r="D83" s="13">
        <v>79</v>
      </c>
      <c r="E83" s="14"/>
      <c r="F83" s="15"/>
      <c r="G83" s="15"/>
      <c r="H83" s="15"/>
    </row>
    <row r="84" spans="4:8">
      <c r="D84" s="13">
        <v>80</v>
      </c>
      <c r="E84" s="14"/>
      <c r="F84" s="15"/>
      <c r="G84" s="15"/>
      <c r="H84" s="15"/>
    </row>
    <row r="85" spans="4:8">
      <c r="D85" s="13">
        <v>81</v>
      </c>
      <c r="E85" s="14"/>
      <c r="F85" s="15"/>
      <c r="G85" s="15"/>
      <c r="H85" s="15"/>
    </row>
    <row r="86" spans="4:8">
      <c r="D86" s="13">
        <v>82</v>
      </c>
      <c r="E86" s="14"/>
      <c r="F86" s="15"/>
      <c r="G86" s="15"/>
      <c r="H86" s="15"/>
    </row>
    <row r="87" spans="4:8">
      <c r="D87" s="13">
        <v>83</v>
      </c>
      <c r="E87" s="14"/>
      <c r="F87" s="15"/>
      <c r="G87" s="15"/>
      <c r="H87" s="15"/>
    </row>
    <row r="88" spans="4:8">
      <c r="D88" s="13">
        <v>84</v>
      </c>
      <c r="E88" s="14"/>
      <c r="F88" s="15"/>
      <c r="G88" s="15"/>
      <c r="H88" s="15"/>
    </row>
    <row r="89" spans="4:8">
      <c r="D89" s="13">
        <v>85</v>
      </c>
      <c r="E89" s="14"/>
      <c r="F89" s="15"/>
      <c r="G89" s="15"/>
      <c r="H89" s="15"/>
    </row>
    <row r="90" spans="4:8">
      <c r="D90" s="13">
        <v>86</v>
      </c>
      <c r="E90" s="14"/>
      <c r="F90" s="15"/>
      <c r="G90" s="15"/>
      <c r="H90" s="15"/>
    </row>
    <row r="91" spans="4:8">
      <c r="D91" s="13">
        <v>87</v>
      </c>
      <c r="E91" s="14"/>
      <c r="F91" s="15"/>
      <c r="G91" s="15"/>
      <c r="H91" s="15"/>
    </row>
    <row r="92" spans="4:8">
      <c r="D92" s="13">
        <v>88</v>
      </c>
      <c r="E92" s="14"/>
      <c r="F92" s="15"/>
      <c r="G92" s="15"/>
      <c r="H92" s="15"/>
    </row>
    <row r="93" spans="4:8">
      <c r="D93" s="13">
        <v>89</v>
      </c>
      <c r="E93" s="14"/>
      <c r="F93" s="15"/>
      <c r="G93" s="15"/>
      <c r="H93" s="15"/>
    </row>
    <row r="94" spans="4:8">
      <c r="D94" s="13">
        <v>90</v>
      </c>
      <c r="E94" s="14"/>
      <c r="F94" s="15"/>
      <c r="G94" s="15"/>
      <c r="H94" s="15"/>
    </row>
    <row r="95" spans="4:8">
      <c r="D95" s="13">
        <v>91</v>
      </c>
      <c r="E95" s="14"/>
      <c r="F95" s="15"/>
      <c r="G95" s="15"/>
      <c r="H95" s="15"/>
    </row>
    <row r="96" spans="4:8">
      <c r="D96" s="13">
        <v>92</v>
      </c>
      <c r="E96" s="63"/>
      <c r="F96" s="15"/>
      <c r="G96" s="15"/>
      <c r="H96" s="15"/>
    </row>
    <row r="97" spans="2:10">
      <c r="D97" s="13">
        <v>93</v>
      </c>
      <c r="E97" s="63"/>
      <c r="F97" s="15"/>
      <c r="G97" s="15"/>
      <c r="H97" s="15"/>
    </row>
    <row r="98" spans="2:10">
      <c r="D98" s="13">
        <v>94</v>
      </c>
      <c r="E98" s="63"/>
      <c r="F98" s="15"/>
      <c r="G98" s="15"/>
      <c r="H98" s="15"/>
    </row>
    <row r="99" spans="2:10">
      <c r="D99" s="13">
        <v>95</v>
      </c>
      <c r="E99" s="14"/>
      <c r="F99" s="15"/>
      <c r="G99" s="15"/>
      <c r="H99" s="15"/>
    </row>
    <row r="100" spans="2:10">
      <c r="D100" s="13">
        <v>96</v>
      </c>
      <c r="E100" s="14"/>
      <c r="F100" s="15"/>
      <c r="G100" s="15"/>
      <c r="H100" s="15"/>
    </row>
    <row r="101" spans="2:10">
      <c r="D101" s="13">
        <v>97</v>
      </c>
      <c r="E101" s="14"/>
      <c r="F101" s="15"/>
      <c r="G101" s="15"/>
      <c r="H101" s="15"/>
    </row>
    <row r="102" spans="2:10">
      <c r="D102" s="13">
        <v>98</v>
      </c>
      <c r="E102" s="14"/>
      <c r="F102" s="15"/>
      <c r="G102" s="15"/>
      <c r="H102" s="15"/>
    </row>
    <row r="103" spans="2:10">
      <c r="D103" s="13">
        <v>99</v>
      </c>
      <c r="E103" s="14"/>
      <c r="F103" s="15"/>
      <c r="G103" s="15"/>
      <c r="H103" s="15"/>
    </row>
    <row r="104" spans="2:10">
      <c r="D104" s="13">
        <v>100</v>
      </c>
      <c r="E104" s="14"/>
      <c r="F104" s="14"/>
      <c r="G104" s="14"/>
      <c r="H104" s="14"/>
    </row>
    <row r="105" spans="2:10">
      <c r="B105" t="s">
        <v>107</v>
      </c>
      <c r="D105" s="13">
        <f>SUM(Tab_BudgetAmpelUnterpositionen[#Totals])</f>
        <v>5</v>
      </c>
      <c r="E105" s="14">
        <f>SUBTOTAL(103,Tab_BudgetAmpelUnterpositionen[1. Software Entwicklungssuppor])</f>
        <v>2</v>
      </c>
      <c r="F105" s="14">
        <f>SUBTOTAL(103,Tab_BudgetAmpelUnterpositionen[2. Support Systementwicklung (])</f>
        <v>0</v>
      </c>
      <c r="G105" s="14">
        <f>SUBTOTAL(103,Tab_BudgetAmpelUnterpositionen[3. Support Task Force (optiona])</f>
        <v>3</v>
      </c>
      <c r="H105" s="14">
        <f>SUBTOTAL(103,Tab_BudgetAmpelUnterpositionen[4. Geschätze Prozessaufwände f])</f>
        <v>0</v>
      </c>
    </row>
    <row r="109" spans="2:10">
      <c r="C109" t="s">
        <v>94</v>
      </c>
      <c r="D109" t="s">
        <v>43</v>
      </c>
      <c r="F109" s="13" t="s">
        <v>94</v>
      </c>
      <c r="G109" s="100" t="s">
        <v>258</v>
      </c>
      <c r="H109" s="100" t="s">
        <v>332</v>
      </c>
      <c r="I109" s="100" t="s">
        <v>335</v>
      </c>
      <c r="J109" s="100" t="s">
        <v>344</v>
      </c>
    </row>
    <row r="110" spans="2:10">
      <c r="B110" s="63" t="s">
        <v>40</v>
      </c>
      <c r="C110" s="64">
        <f>COUNTIF(Tab_BudgetAmpelPositionen[],B110)</f>
        <v>0</v>
      </c>
      <c r="D110" s="64">
        <f>COUNTIF(Tab_BudgetAmpelUnterpositionen[],B110)</f>
        <v>1</v>
      </c>
      <c r="F110" s="13"/>
      <c r="G110" s="101" t="str">
        <f>IF('1. Software Entwicklungssuppor'!$W$4="","LEER",IF('1. Software Entwicklungssuppor'!$W$4&gt;=Projekteinstellungen!$C$9, "Warnstufe",IF('1. Software Entwicklungssuppor'!$W$4&gt;0,"geringe Abweichung","on track")))</f>
        <v>Warnstufe</v>
      </c>
      <c r="H110" s="322" t="str">
        <f>IF('2. Support Systementwicklung '!$W$4="","LEER",IF('2. Support Systementwicklung '!$W$4&gt;=Projekteinstellungen!$C$9, "Warnstufe",IF('2. Support Systementwicklung '!$W$4&gt;0,"geringe Abweichung","on track")))</f>
        <v>Warnstufe</v>
      </c>
      <c r="I110" s="322" t="str">
        <f>IF('3. Support Task Force'!$W$4="","LEER",IF('3. Support Task Force'!$W$4&gt;=Projekteinstellungen!$C$9, "Warnstufe",IF('3. Support Task Force'!$W$4&gt;0,"geringe Abweichung","on track")))</f>
        <v>Warnstufe</v>
      </c>
      <c r="J110" s="322" t="str">
        <f>IF('4. Geschätze Prozessaufwände'!$W$4="","LEER",IF('4. Geschätze Prozessaufwände'!$W$4&gt;=Projekteinstellungen!$C$9, "Warnstufe",IF('4. Geschätze Prozessaufwände'!$W$4&gt;0,"geringe Abweichung","on track")))</f>
        <v>Warnstufe</v>
      </c>
    </row>
    <row r="111" spans="2:10">
      <c r="B111" s="63" t="s">
        <v>41</v>
      </c>
      <c r="C111" s="64">
        <f>COUNTIF(Tab_BudgetAmpelPositionen[],B111)</f>
        <v>0</v>
      </c>
      <c r="D111" s="64">
        <f>COUNTIF(Tab_BudgetAmpelUnterpositionen[],B111)</f>
        <v>0</v>
      </c>
      <c r="E111" s="99"/>
    </row>
    <row r="112" spans="2:10">
      <c r="B112" s="63" t="s">
        <v>42</v>
      </c>
      <c r="C112" s="64">
        <f>COUNTIF(Tab_BudgetAmpelPositionen[],B112)</f>
        <v>4</v>
      </c>
      <c r="D112" s="64">
        <f>COUNTIF(Tab_BudgetAmpelUnterpositionen[],B112)</f>
        <v>4</v>
      </c>
      <c r="E112" s="99"/>
    </row>
    <row r="113" spans="2:12">
      <c r="D113" s="13"/>
    </row>
    <row r="114" spans="2:12">
      <c r="D114" s="13"/>
    </row>
    <row r="115" spans="2:12">
      <c r="D115" s="13"/>
    </row>
    <row r="116" spans="2:12">
      <c r="D116" s="13"/>
    </row>
    <row r="117" spans="2:12">
      <c r="D117" s="13"/>
    </row>
    <row r="118" spans="2:12">
      <c r="D118" s="13"/>
    </row>
    <row r="119" spans="2:12">
      <c r="D119" s="13"/>
    </row>
    <row r="120" spans="2:12">
      <c r="D120" s="13"/>
    </row>
    <row r="122" spans="2:12" ht="15.75" thickBot="1">
      <c r="B122" s="480" t="s">
        <v>96</v>
      </c>
      <c r="C122" s="480"/>
      <c r="D122" s="480"/>
      <c r="E122" s="480"/>
      <c r="F122" s="480"/>
      <c r="G122" s="480"/>
      <c r="H122" s="480"/>
      <c r="I122" s="480"/>
      <c r="J122" s="480"/>
      <c r="K122" s="480"/>
      <c r="L122" s="480"/>
    </row>
    <row r="124" spans="2:12">
      <c r="D124" s="13" t="s">
        <v>98</v>
      </c>
      <c r="E124" s="67" t="s">
        <v>258</v>
      </c>
      <c r="F124" s="323" t="s">
        <v>332</v>
      </c>
      <c r="G124" s="323" t="s">
        <v>335</v>
      </c>
      <c r="H124" s="323" t="s">
        <v>344</v>
      </c>
    </row>
    <row r="125" spans="2:12">
      <c r="B125" s="63" t="s">
        <v>40</v>
      </c>
      <c r="C125" s="64">
        <f ca="1">SUM(Tab_ZeitAmpel[#This Row])</f>
        <v>1</v>
      </c>
      <c r="D125" s="13"/>
      <c r="E125" s="68">
        <f ca="1">'1. Software Entwicklungssuppor'!$Z$3</f>
        <v>1</v>
      </c>
      <c r="F125" s="52">
        <f ca="1">'2. Support Systementwicklung '!$Z$3</f>
        <v>0</v>
      </c>
      <c r="G125" s="52">
        <f ca="1">'3. Support Task Force'!$Z$3</f>
        <v>0</v>
      </c>
      <c r="H125" s="52">
        <f ca="1">'4. Geschätze Prozessaufwände'!$Z$3</f>
        <v>0</v>
      </c>
    </row>
    <row r="126" spans="2:12">
      <c r="B126" s="63" t="s">
        <v>97</v>
      </c>
      <c r="C126" s="64">
        <f ca="1">SUM(Tab_ZeitAmpel[#This Row])</f>
        <v>0</v>
      </c>
      <c r="E126" s="68">
        <f ca="1">'1. Software Entwicklungssuppor'!$AA$3</f>
        <v>0</v>
      </c>
      <c r="F126" s="68">
        <f ca="1">'2. Support Systementwicklung '!$AA$3</f>
        <v>0</v>
      </c>
      <c r="G126" s="68">
        <f ca="1">'3. Support Task Force'!$AA$3</f>
        <v>0</v>
      </c>
      <c r="H126" s="68">
        <f ca="1">'4. Geschätze Prozessaufwände'!$AA$3</f>
        <v>0</v>
      </c>
    </row>
    <row r="127" spans="2:12">
      <c r="B127" s="63" t="s">
        <v>99</v>
      </c>
      <c r="C127" s="64">
        <f ca="1">SUM(Tab_ZeitAmpel[#This Row])</f>
        <v>0</v>
      </c>
      <c r="E127" s="68">
        <f ca="1">'1. Software Entwicklungssuppor'!$AB$3</f>
        <v>0</v>
      </c>
      <c r="F127" s="69">
        <f ca="1">'2. Support Systementwicklung '!$AB$3</f>
        <v>0</v>
      </c>
      <c r="G127" s="69">
        <f ca="1">'3. Support Task Force'!$AB$3</f>
        <v>0</v>
      </c>
      <c r="H127" s="69">
        <f ca="1">'4. Geschätze Prozessaufwände'!$AB$3</f>
        <v>0</v>
      </c>
    </row>
    <row r="128" spans="2:12">
      <c r="D128" s="13" t="s">
        <v>16</v>
      </c>
      <c r="E128" s="69">
        <f ca="1">SUBTOTAL(109,Tab_ZeitAmpel[1. Software Entwicklungssuppor])</f>
        <v>1</v>
      </c>
      <c r="F128" s="324">
        <f ca="1">SUBTOTAL(109,Tab_ZeitAmpel[2. Support Systementwicklung (])</f>
        <v>0</v>
      </c>
      <c r="G128" s="327">
        <f ca="1">SUBTOTAL(109,Tab_ZeitAmpel[3. Support Task Force (optiona])</f>
        <v>0</v>
      </c>
      <c r="H128" s="327">
        <f ca="1">SUBTOTAL(109,Tab_ZeitAmpel[4. Geschätze Prozessaufwände f])</f>
        <v>0</v>
      </c>
    </row>
    <row r="147" spans="2:12">
      <c r="B147" s="476" t="s">
        <v>150</v>
      </c>
      <c r="C147" s="477"/>
      <c r="D147" s="116" t="s">
        <v>11</v>
      </c>
      <c r="E147" s="404" t="s">
        <v>151</v>
      </c>
      <c r="F147" s="404"/>
      <c r="G147" s="116" t="s">
        <v>154</v>
      </c>
      <c r="H147" s="116" t="s">
        <v>18</v>
      </c>
      <c r="I147" s="116" t="s">
        <v>12</v>
      </c>
      <c r="J147" s="116" t="s">
        <v>13</v>
      </c>
      <c r="K147" s="404" t="s">
        <v>14</v>
      </c>
      <c r="L147" s="405"/>
    </row>
    <row r="148" spans="2:12">
      <c r="B148" s="478" t="s">
        <v>152</v>
      </c>
      <c r="C148" s="479"/>
      <c r="D148" s="185"/>
      <c r="E148" s="481"/>
      <c r="F148" s="481"/>
      <c r="G148" s="185"/>
      <c r="H148" s="185"/>
      <c r="I148" s="185"/>
      <c r="J148" s="185"/>
      <c r="K148" s="185"/>
      <c r="L148" s="186"/>
    </row>
    <row r="149" spans="2:12">
      <c r="B149" s="187"/>
      <c r="C149" s="183" t="s">
        <v>67</v>
      </c>
      <c r="D149" s="184">
        <v>44</v>
      </c>
      <c r="E149" s="474"/>
      <c r="F149" s="474"/>
      <c r="G149" s="184"/>
      <c r="H149" s="188"/>
      <c r="I149" s="188"/>
      <c r="J149" s="188"/>
      <c r="K149" s="188"/>
      <c r="L149" s="142"/>
    </row>
    <row r="150" spans="2:12">
      <c r="B150" s="187"/>
      <c r="C150" s="183" t="s">
        <v>3</v>
      </c>
      <c r="D150" s="184">
        <v>12.5</v>
      </c>
      <c r="E150" s="474"/>
      <c r="F150" s="474"/>
      <c r="G150" s="184"/>
      <c r="H150" s="188"/>
      <c r="I150" s="188"/>
      <c r="J150" s="188"/>
      <c r="K150" s="188"/>
      <c r="L150" s="142"/>
    </row>
    <row r="151" spans="2:12">
      <c r="B151" s="189"/>
      <c r="C151" s="181" t="s">
        <v>134</v>
      </c>
      <c r="D151" s="182">
        <v>13</v>
      </c>
      <c r="E151" s="475">
        <v>14</v>
      </c>
      <c r="F151" s="475"/>
      <c r="G151" s="182"/>
      <c r="H151" s="190" t="s">
        <v>153</v>
      </c>
      <c r="I151" s="190"/>
      <c r="J151" s="190"/>
      <c r="K151" s="190"/>
      <c r="L151" s="191"/>
    </row>
  </sheetData>
  <mergeCells count="10">
    <mergeCell ref="B2:L2"/>
    <mergeCell ref="B122:L122"/>
    <mergeCell ref="K147:L147"/>
    <mergeCell ref="E147:F147"/>
    <mergeCell ref="E148:F148"/>
    <mergeCell ref="E149:F149"/>
    <mergeCell ref="E150:F150"/>
    <mergeCell ref="E151:F151"/>
    <mergeCell ref="B147:C147"/>
    <mergeCell ref="B148:C148"/>
  </mergeCells>
  <phoneticPr fontId="37" type="noConversion"/>
  <dataValidations count="1">
    <dataValidation allowBlank="1" showErrorMessage="1" sqref="B147:C147" xr:uid="{9766BF2A-C71F-4C5C-97DC-6ACAEF1A3285}"/>
  </dataValidations>
  <pageMargins left="0.7" right="0.7" top="0.78740157499999996" bottom="0.78740157499999996" header="0.3" footer="0.3"/>
  <tableParts count="3">
    <tablePart r:id="rId1"/>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C51DF-2FBD-4E61-9546-D5E16C94FCAD}">
  <sheetPr codeName="Tabelle6"/>
  <dimension ref="B2:R56"/>
  <sheetViews>
    <sheetView zoomScale="85" zoomScaleNormal="85" workbookViewId="0">
      <selection activeCell="B37" sqref="B37:C56"/>
    </sheetView>
  </sheetViews>
  <sheetFormatPr baseColWidth="10" defaultRowHeight="15"/>
  <cols>
    <col min="1" max="1" width="2.5703125" style="30" customWidth="1"/>
    <col min="2" max="2" width="31.140625" style="30" customWidth="1"/>
    <col min="3" max="5" width="25.7109375" style="30" customWidth="1"/>
    <col min="6" max="6" width="26.42578125" style="30" customWidth="1"/>
    <col min="7" max="8" width="25.7109375" style="30" customWidth="1"/>
    <col min="9" max="9" width="28.140625" style="30" customWidth="1"/>
    <col min="10" max="10" width="26.85546875" style="30" customWidth="1"/>
    <col min="11" max="11" width="30.42578125" style="30" customWidth="1"/>
    <col min="12" max="12" width="28.42578125" style="30" customWidth="1"/>
    <col min="13" max="13" width="30.28515625" style="30" customWidth="1"/>
    <col min="14" max="16384" width="11.42578125" style="30"/>
  </cols>
  <sheetData>
    <row r="2" spans="2:18">
      <c r="B2" s="482" t="s">
        <v>115</v>
      </c>
      <c r="C2" s="483"/>
    </row>
    <row r="3" spans="2:18">
      <c r="B3" s="37" t="s">
        <v>83</v>
      </c>
      <c r="C3" s="35" t="s">
        <v>165</v>
      </c>
    </row>
    <row r="4" spans="2:18">
      <c r="B4" s="38" t="s">
        <v>84</v>
      </c>
      <c r="C4" s="36" t="s">
        <v>167</v>
      </c>
    </row>
    <row r="5" spans="2:18" ht="15.75" thickBot="1"/>
    <row r="6" spans="2:18">
      <c r="B6" s="40"/>
      <c r="C6" s="40"/>
      <c r="D6" s="40"/>
      <c r="E6" s="40"/>
      <c r="F6" s="40"/>
      <c r="G6" s="40"/>
      <c r="H6" s="40"/>
      <c r="I6" s="103"/>
      <c r="J6" s="103"/>
      <c r="K6" s="103"/>
      <c r="L6" s="103"/>
      <c r="M6" s="103"/>
    </row>
    <row r="7" spans="2:18">
      <c r="B7" s="41"/>
      <c r="C7" s="42"/>
      <c r="D7" s="42"/>
      <c r="E7" s="42"/>
      <c r="F7" s="44" t="s">
        <v>85</v>
      </c>
      <c r="G7" s="42"/>
      <c r="H7" s="42"/>
      <c r="I7" s="42"/>
      <c r="J7" s="42"/>
      <c r="K7" s="42"/>
      <c r="L7" s="42"/>
      <c r="M7" s="43"/>
      <c r="N7" s="172"/>
      <c r="O7" s="172"/>
      <c r="P7" s="172"/>
      <c r="Q7" s="172"/>
      <c r="R7" s="171"/>
    </row>
    <row r="8" spans="2:18">
      <c r="B8" s="45" t="s">
        <v>114</v>
      </c>
      <c r="C8" s="45" t="s">
        <v>21</v>
      </c>
      <c r="D8" s="45" t="s">
        <v>22</v>
      </c>
      <c r="E8" s="45" t="s">
        <v>76</v>
      </c>
      <c r="F8" s="45" t="s">
        <v>77</v>
      </c>
      <c r="G8" s="45" t="s">
        <v>23</v>
      </c>
      <c r="H8" s="45" t="s">
        <v>78</v>
      </c>
      <c r="I8" s="45" t="s">
        <v>116</v>
      </c>
      <c r="J8" s="45" t="s">
        <v>117</v>
      </c>
      <c r="K8" s="45" t="s">
        <v>140</v>
      </c>
      <c r="L8" s="45" t="s">
        <v>149</v>
      </c>
      <c r="M8" s="45" t="s">
        <v>162</v>
      </c>
    </row>
    <row r="9" spans="2:18">
      <c r="B9" s="102">
        <v>0.05</v>
      </c>
      <c r="C9" s="102">
        <v>0.2</v>
      </c>
      <c r="D9" s="32" t="s">
        <v>24</v>
      </c>
      <c r="E9" s="33">
        <v>0</v>
      </c>
      <c r="F9" s="34">
        <v>0</v>
      </c>
      <c r="G9" s="33">
        <v>0</v>
      </c>
      <c r="H9" s="34">
        <v>0</v>
      </c>
      <c r="I9" s="104">
        <v>2</v>
      </c>
      <c r="J9" s="104">
        <v>2</v>
      </c>
      <c r="K9" s="34">
        <v>0.05</v>
      </c>
      <c r="L9" s="34" t="b">
        <v>1</v>
      </c>
      <c r="M9" s="34">
        <v>0.05</v>
      </c>
    </row>
    <row r="10" spans="2:18">
      <c r="B10" s="13"/>
      <c r="C10" s="13"/>
      <c r="D10" s="29" t="s">
        <v>26</v>
      </c>
      <c r="E10" s="33">
        <v>0.25</v>
      </c>
      <c r="F10" s="34">
        <v>0.2</v>
      </c>
      <c r="G10" s="33">
        <v>0.25</v>
      </c>
      <c r="H10" s="34">
        <v>0.2</v>
      </c>
      <c r="I10" s="34"/>
      <c r="J10" s="34"/>
      <c r="K10" s="34"/>
      <c r="L10" s="34"/>
      <c r="M10" s="34"/>
    </row>
    <row r="11" spans="2:18">
      <c r="B11" s="13"/>
      <c r="C11" s="13"/>
      <c r="D11" s="29" t="s">
        <v>28</v>
      </c>
      <c r="E11" s="33">
        <v>0.5</v>
      </c>
      <c r="F11" s="34">
        <v>0.4</v>
      </c>
      <c r="G11" s="33">
        <v>0.5</v>
      </c>
      <c r="H11" s="34">
        <v>0.4</v>
      </c>
      <c r="I11" s="34"/>
      <c r="J11" s="34"/>
      <c r="K11" s="34"/>
      <c r="L11" s="34"/>
      <c r="M11" s="34"/>
    </row>
    <row r="12" spans="2:18">
      <c r="B12" s="13"/>
      <c r="C12" s="13"/>
      <c r="D12" s="29" t="s">
        <v>30</v>
      </c>
      <c r="E12" s="33">
        <v>0.75</v>
      </c>
      <c r="F12" s="34">
        <v>0.6</v>
      </c>
      <c r="G12" s="33">
        <v>0.75</v>
      </c>
      <c r="H12" s="34">
        <v>0.6</v>
      </c>
      <c r="I12" s="34"/>
      <c r="J12" s="34"/>
      <c r="K12" s="34"/>
      <c r="L12" s="34"/>
      <c r="M12" s="34"/>
    </row>
    <row r="13" spans="2:18">
      <c r="B13" s="13"/>
      <c r="C13" s="13"/>
      <c r="D13" s="29" t="s">
        <v>31</v>
      </c>
      <c r="E13" s="33">
        <v>1</v>
      </c>
      <c r="F13" s="34">
        <v>0.8</v>
      </c>
      <c r="G13" s="33">
        <v>1</v>
      </c>
      <c r="H13" s="34">
        <v>0.8</v>
      </c>
      <c r="I13" s="34"/>
      <c r="J13" s="34"/>
      <c r="K13" s="34"/>
      <c r="L13" s="34"/>
      <c r="M13" s="34"/>
    </row>
    <row r="14" spans="2:18">
      <c r="B14" s="13"/>
      <c r="C14" s="13"/>
      <c r="D14" s="29" t="s">
        <v>32</v>
      </c>
      <c r="E14" s="29" t="s">
        <v>33</v>
      </c>
      <c r="F14" s="34">
        <v>0.9</v>
      </c>
      <c r="G14" s="29" t="s">
        <v>34</v>
      </c>
      <c r="H14" s="34">
        <v>0.9</v>
      </c>
      <c r="I14" s="34"/>
      <c r="J14" s="34"/>
      <c r="K14" s="34"/>
      <c r="L14" s="34"/>
      <c r="M14" s="34"/>
    </row>
    <row r="15" spans="2:18">
      <c r="B15" s="13"/>
      <c r="C15" s="13"/>
      <c r="D15" s="29"/>
      <c r="E15" s="29" t="s">
        <v>35</v>
      </c>
      <c r="F15" s="34">
        <v>0.95</v>
      </c>
      <c r="G15" s="29" t="s">
        <v>36</v>
      </c>
      <c r="H15" s="34">
        <v>1</v>
      </c>
      <c r="I15" s="34"/>
      <c r="J15" s="34"/>
      <c r="K15" s="34"/>
      <c r="L15" s="34"/>
      <c r="M15" s="34"/>
    </row>
    <row r="16" spans="2:18">
      <c r="B16" s="13"/>
      <c r="C16" s="13"/>
      <c r="D16" s="29"/>
      <c r="E16" s="29" t="s">
        <v>37</v>
      </c>
      <c r="F16" s="34">
        <v>1</v>
      </c>
      <c r="G16" s="29"/>
      <c r="H16" s="13"/>
      <c r="I16" s="13"/>
      <c r="J16" s="13"/>
      <c r="K16" s="13"/>
      <c r="L16" s="13"/>
      <c r="M16" s="13"/>
    </row>
    <row r="19" spans="2:7">
      <c r="B19" s="487" t="s">
        <v>79</v>
      </c>
      <c r="C19" s="488"/>
      <c r="D19" s="488"/>
      <c r="E19" s="489"/>
    </row>
    <row r="20" spans="2:7">
      <c r="B20" s="47" t="s">
        <v>80</v>
      </c>
      <c r="C20" s="50" t="s">
        <v>81</v>
      </c>
      <c r="D20" s="50" t="s">
        <v>87</v>
      </c>
      <c r="E20" s="48" t="s">
        <v>132</v>
      </c>
      <c r="F20" s="31"/>
    </row>
    <row r="21" spans="2:7">
      <c r="B21" s="39">
        <v>1</v>
      </c>
      <c r="C21" s="51">
        <v>8</v>
      </c>
      <c r="D21" s="51" t="s">
        <v>131</v>
      </c>
      <c r="E21" s="52" t="s">
        <v>88</v>
      </c>
      <c r="F21" s="31"/>
    </row>
    <row r="22" spans="2:7">
      <c r="G22" s="105"/>
    </row>
    <row r="23" spans="2:7">
      <c r="B23" s="110" t="s">
        <v>128</v>
      </c>
    </row>
    <row r="24" spans="2:7">
      <c r="B24" s="111">
        <v>45210</v>
      </c>
    </row>
    <row r="26" spans="2:7">
      <c r="B26" s="484" t="s">
        <v>129</v>
      </c>
      <c r="C26" s="485"/>
      <c r="D26" s="486"/>
    </row>
    <row r="27" spans="2:7">
      <c r="B27" s="46" t="s">
        <v>130</v>
      </c>
      <c r="C27" s="50" t="s">
        <v>49</v>
      </c>
      <c r="D27" s="50" t="s">
        <v>50</v>
      </c>
    </row>
    <row r="28" spans="2:7">
      <c r="B28" t="s">
        <v>1</v>
      </c>
      <c r="C28" s="13">
        <v>22</v>
      </c>
      <c r="D28" s="13">
        <v>2023</v>
      </c>
    </row>
    <row r="29" spans="2:7">
      <c r="B29" t="s">
        <v>2</v>
      </c>
      <c r="C29" s="13">
        <v>22</v>
      </c>
      <c r="D29" s="104">
        <v>2024</v>
      </c>
    </row>
    <row r="31" spans="2:7">
      <c r="B31" s="143" t="s">
        <v>138</v>
      </c>
    </row>
    <row r="32" spans="2:7">
      <c r="B32" t="s">
        <v>139</v>
      </c>
    </row>
    <row r="33" spans="2:3">
      <c r="B33"/>
    </row>
    <row r="36" spans="2:3">
      <c r="B36" s="46" t="s">
        <v>82</v>
      </c>
      <c r="C36" s="46" t="s">
        <v>108</v>
      </c>
    </row>
    <row r="37" spans="2:3">
      <c r="B37" t="s">
        <v>174</v>
      </c>
      <c r="C37">
        <v>40</v>
      </c>
    </row>
    <row r="38" spans="2:3">
      <c r="B38" t="s">
        <v>175</v>
      </c>
      <c r="C38">
        <v>40</v>
      </c>
    </row>
    <row r="39" spans="2:3">
      <c r="B39" t="s">
        <v>176</v>
      </c>
      <c r="C39">
        <v>40</v>
      </c>
    </row>
    <row r="40" spans="2:3">
      <c r="B40" t="s">
        <v>177</v>
      </c>
      <c r="C40" s="268">
        <v>34</v>
      </c>
    </row>
    <row r="41" spans="2:3">
      <c r="B41" t="s">
        <v>178</v>
      </c>
      <c r="C41">
        <v>40</v>
      </c>
    </row>
    <row r="42" spans="2:3">
      <c r="B42" t="s">
        <v>179</v>
      </c>
      <c r="C42">
        <v>40</v>
      </c>
    </row>
    <row r="43" spans="2:3">
      <c r="B43" t="s">
        <v>180</v>
      </c>
      <c r="C43" s="268">
        <v>14</v>
      </c>
    </row>
    <row r="44" spans="2:3">
      <c r="B44" t="s">
        <v>181</v>
      </c>
      <c r="C44">
        <v>40</v>
      </c>
    </row>
    <row r="45" spans="2:3">
      <c r="B45" t="s">
        <v>182</v>
      </c>
      <c r="C45">
        <v>40</v>
      </c>
    </row>
    <row r="46" spans="2:3">
      <c r="B46" t="s">
        <v>183</v>
      </c>
      <c r="C46">
        <v>40</v>
      </c>
    </row>
    <row r="47" spans="2:3">
      <c r="B47" t="s">
        <v>184</v>
      </c>
      <c r="C47">
        <v>40</v>
      </c>
    </row>
    <row r="48" spans="2:3">
      <c r="B48" t="s">
        <v>185</v>
      </c>
      <c r="C48" s="268">
        <v>35</v>
      </c>
    </row>
    <row r="49" spans="2:3">
      <c r="B49" t="s">
        <v>186</v>
      </c>
      <c r="C49">
        <v>40</v>
      </c>
    </row>
    <row r="50" spans="2:3">
      <c r="B50" t="s">
        <v>187</v>
      </c>
      <c r="C50">
        <v>40</v>
      </c>
    </row>
    <row r="51" spans="2:3">
      <c r="B51" t="s">
        <v>172</v>
      </c>
      <c r="C51">
        <v>40</v>
      </c>
    </row>
    <row r="52" spans="2:3">
      <c r="B52" t="s">
        <v>188</v>
      </c>
      <c r="C52">
        <v>40</v>
      </c>
    </row>
    <row r="53" spans="2:3">
      <c r="B53" t="s">
        <v>189</v>
      </c>
      <c r="C53">
        <v>40</v>
      </c>
    </row>
    <row r="54" spans="2:3">
      <c r="B54" t="s">
        <v>190</v>
      </c>
      <c r="C54">
        <v>40</v>
      </c>
    </row>
    <row r="55" spans="2:3">
      <c r="B55" t="s">
        <v>191</v>
      </c>
      <c r="C55">
        <v>40</v>
      </c>
    </row>
    <row r="56" spans="2:3">
      <c r="B56"/>
      <c r="C56"/>
    </row>
  </sheetData>
  <sortState xmlns:xlrd2="http://schemas.microsoft.com/office/spreadsheetml/2017/richdata2" ref="B37:C37">
    <sortCondition ref="B37"/>
  </sortState>
  <mergeCells count="3">
    <mergeCell ref="B2:C2"/>
    <mergeCell ref="B26:D26"/>
    <mergeCell ref="B19:E19"/>
  </mergeCells>
  <phoneticPr fontId="37" type="noConversion"/>
  <pageMargins left="0.7" right="0.7" top="0.78740157499999996" bottom="0.78740157499999996" header="0.3" footer="0.3"/>
  <pageSetup paperSize="9" orientation="portrait" r:id="rId1"/>
  <tableParts count="6">
    <tablePart r:id="rId2"/>
    <tablePart r:id="rId3"/>
    <tablePart r:id="rId4"/>
    <tablePart r:id="rId5"/>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39F51-108C-4FC0-841A-1C7E5C62CCE3}">
  <sheetPr codeName="Tabelle7"/>
  <dimension ref="B2:L117"/>
  <sheetViews>
    <sheetView showGridLines="0" topLeftCell="A6" workbookViewId="0">
      <selection activeCell="B116" sqref="B116"/>
    </sheetView>
  </sheetViews>
  <sheetFormatPr baseColWidth="10" defaultRowHeight="15"/>
  <cols>
    <col min="1" max="1" width="3.140625" customWidth="1"/>
    <col min="2" max="2" width="13.28515625" customWidth="1"/>
    <col min="3" max="3" width="34.5703125" customWidth="1"/>
    <col min="4" max="4" width="22.140625" customWidth="1"/>
    <col min="5" max="5" width="12" customWidth="1"/>
    <col min="6" max="6" width="11.42578125" customWidth="1"/>
    <col min="7" max="7" width="12.140625" customWidth="1"/>
    <col min="8" max="8" width="13.28515625" customWidth="1"/>
    <col min="9" max="9" width="31.42578125" customWidth="1"/>
  </cols>
  <sheetData>
    <row r="2" spans="2:12" ht="15.75" thickBot="1">
      <c r="B2" s="480" t="s">
        <v>86</v>
      </c>
      <c r="C2" s="480"/>
      <c r="D2" s="480"/>
      <c r="E2" s="480"/>
      <c r="F2" s="480"/>
      <c r="G2" s="480"/>
      <c r="H2" s="480"/>
      <c r="I2" s="480"/>
      <c r="J2" s="480"/>
      <c r="K2" s="480"/>
      <c r="L2" s="480"/>
    </row>
    <row r="4" spans="2:12">
      <c r="B4" s="487" t="s">
        <v>52</v>
      </c>
      <c r="C4" s="488"/>
      <c r="D4" s="488"/>
      <c r="E4" s="488"/>
      <c r="F4" s="489"/>
      <c r="H4" s="487" t="s">
        <v>15</v>
      </c>
      <c r="I4" s="488"/>
      <c r="J4" s="488"/>
      <c r="K4" s="488"/>
      <c r="L4" s="489"/>
    </row>
    <row r="5" spans="2:12">
      <c r="B5" s="46" t="s">
        <v>58</v>
      </c>
      <c r="C5" s="46" t="s">
        <v>59</v>
      </c>
      <c r="D5" s="49" t="s">
        <v>54</v>
      </c>
      <c r="E5" s="49" t="s">
        <v>55</v>
      </c>
      <c r="F5" s="46" t="s">
        <v>53</v>
      </c>
      <c r="H5" s="46" t="s">
        <v>58</v>
      </c>
      <c r="I5" s="46" t="s">
        <v>61</v>
      </c>
      <c r="J5" s="49" t="s">
        <v>54</v>
      </c>
      <c r="K5" s="49" t="s">
        <v>55</v>
      </c>
      <c r="L5" s="46" t="s">
        <v>53</v>
      </c>
    </row>
    <row r="6" spans="2:12">
      <c r="B6" s="13">
        <v>2</v>
      </c>
      <c r="C6" t="s">
        <v>44</v>
      </c>
      <c r="D6" s="29">
        <f>ROW(Cockpit!$D$3)</f>
        <v>3</v>
      </c>
      <c r="E6" s="29">
        <f>COLUMN(Cockpit!$D$3)</f>
        <v>4</v>
      </c>
      <c r="F6" s="29" t="str">
        <f>ADDRESS(D6,E6,1)</f>
        <v>$D$3</v>
      </c>
      <c r="H6" s="13">
        <v>2</v>
      </c>
      <c r="I6" t="str">
        <f>Ressourceneinsatz!$C$2</f>
        <v>Ressourceneinsatz</v>
      </c>
      <c r="J6" s="29">
        <f>ROW(Ressourceneinsatz!$C$2)</f>
        <v>2</v>
      </c>
      <c r="K6" s="29">
        <f>COLUMN(Ressourceneinsatz!$C$2)</f>
        <v>3</v>
      </c>
      <c r="L6" s="29" t="str">
        <f>ADDRESS(J6,K6,1)</f>
        <v>$C$2</v>
      </c>
    </row>
    <row r="7" spans="2:12">
      <c r="B7" s="13">
        <f>B6+1</f>
        <v>3</v>
      </c>
      <c r="C7" t="str">
        <f>Cockpit!$D$4</f>
        <v>Projektstatus</v>
      </c>
      <c r="D7" s="29">
        <f>ROW(Cockpit!$F$4)</f>
        <v>4</v>
      </c>
      <c r="E7" s="29">
        <f>COLUMN(Cockpit!$F$4)</f>
        <v>6</v>
      </c>
      <c r="F7" s="29" t="str">
        <f>ADDRESS(D7,E7,1)</f>
        <v>$F$4</v>
      </c>
      <c r="H7" s="13">
        <f>H6+1</f>
        <v>3</v>
      </c>
      <c r="I7" t="str">
        <f>Ressourceneinsatz!$C$27</f>
        <v>Summe</v>
      </c>
      <c r="J7" s="29">
        <f>ROW(Ressourceneinsatz!$C$27)</f>
        <v>27</v>
      </c>
      <c r="K7" s="29">
        <f>COLUMN(Ressourceneinsatz!$C$27)</f>
        <v>3</v>
      </c>
      <c r="L7" s="29" t="str">
        <f t="shared" ref="L7:L13" si="0">ADDRESS(J7,K7,1)</f>
        <v>$C$27</v>
      </c>
    </row>
    <row r="8" spans="2:12">
      <c r="B8" s="13">
        <f t="shared" ref="B8:B29" si="1">B7+1</f>
        <v>4</v>
      </c>
      <c r="C8" t="str">
        <f>Cockpit!$D$5</f>
        <v>Safety Status</v>
      </c>
      <c r="D8" s="29">
        <f>ROW(Cockpit!$F$5)</f>
        <v>5</v>
      </c>
      <c r="E8" s="29">
        <f>COLUMN(Cockpit!$F$5)</f>
        <v>6</v>
      </c>
      <c r="F8" s="29" t="str">
        <f t="shared" ref="F8:F38" si="2">ADDRESS(D8,E8,1)</f>
        <v>$F$5</v>
      </c>
      <c r="H8" s="13">
        <f t="shared" ref="H8:H13" si="3">H7+1</f>
        <v>4</v>
      </c>
      <c r="I8" t="e">
        <f>Ressourceneinsatz!#REF!</f>
        <v>#REF!</v>
      </c>
      <c r="J8" s="29" t="e">
        <f>ROW(Ressourceneinsatz!#REF!)</f>
        <v>#REF!</v>
      </c>
      <c r="K8" s="29" t="e">
        <f>COLUMN(Ressourceneinsatz!#REF!)</f>
        <v>#REF!</v>
      </c>
      <c r="L8" s="29" t="e">
        <f t="shared" si="0"/>
        <v>#REF!</v>
      </c>
    </row>
    <row r="9" spans="2:12">
      <c r="B9" s="13">
        <f t="shared" si="1"/>
        <v>5</v>
      </c>
      <c r="C9" t="str">
        <f>Cockpit!$D$6</f>
        <v>Projektklasse</v>
      </c>
      <c r="D9" s="29">
        <f>ROW(Cockpit!$F$6)</f>
        <v>6</v>
      </c>
      <c r="E9" s="29">
        <f>COLUMN(Cockpit!$F$6)</f>
        <v>6</v>
      </c>
      <c r="F9" s="29" t="str">
        <f t="shared" si="2"/>
        <v>$F$6</v>
      </c>
      <c r="H9" s="13">
        <f t="shared" si="3"/>
        <v>5</v>
      </c>
      <c r="I9" t="str">
        <f>Ressourceneinsatz!$C$29</f>
        <v>Einsatz FTE</v>
      </c>
      <c r="J9" s="29">
        <f>ROW(Ressourceneinsatz!$C$29)</f>
        <v>29</v>
      </c>
      <c r="K9" s="29">
        <f>COLUMN(Ressourceneinsatz!$C$29)</f>
        <v>3</v>
      </c>
      <c r="L9" s="29" t="str">
        <f t="shared" si="0"/>
        <v>$C$29</v>
      </c>
    </row>
    <row r="10" spans="2:12">
      <c r="B10" s="13">
        <f t="shared" si="1"/>
        <v>6</v>
      </c>
      <c r="C10" t="str">
        <f>Cockpit!$D$7</f>
        <v>PO</v>
      </c>
      <c r="D10" s="29">
        <f>ROW(Cockpit!$F$7)</f>
        <v>7</v>
      </c>
      <c r="E10" s="29">
        <f>COLUMN(Cockpit!$F$7)</f>
        <v>6</v>
      </c>
      <c r="F10" s="29" t="str">
        <f t="shared" si="2"/>
        <v>$F$7</v>
      </c>
      <c r="H10" s="13">
        <f t="shared" si="3"/>
        <v>6</v>
      </c>
      <c r="I10" t="e">
        <f>Ressourceneinsatz!#REF!</f>
        <v>#REF!</v>
      </c>
      <c r="J10" s="29" t="e">
        <f>ROW(Ressourceneinsatz!#REF!)</f>
        <v>#REF!</v>
      </c>
      <c r="K10" s="29" t="e">
        <f>COLUMN(Ressourceneinsatz!#REF!)</f>
        <v>#REF!</v>
      </c>
      <c r="L10" s="29" t="e">
        <f t="shared" si="0"/>
        <v>#REF!</v>
      </c>
    </row>
    <row r="11" spans="2:12">
      <c r="B11" s="13">
        <f t="shared" si="1"/>
        <v>7</v>
      </c>
      <c r="C11" t="str">
        <f>Cockpit!$D$8</f>
        <v>PM</v>
      </c>
      <c r="D11" s="29">
        <f>ROW(Cockpit!$F$8)</f>
        <v>8</v>
      </c>
      <c r="E11" s="29">
        <f>COLUMN(Cockpit!$F$8)</f>
        <v>6</v>
      </c>
      <c r="F11" s="29" t="str">
        <f t="shared" si="2"/>
        <v>$F$8</v>
      </c>
      <c r="H11" s="13">
        <f t="shared" si="3"/>
        <v>7</v>
      </c>
      <c r="I11" t="e">
        <f>Ressourceneinsatz!#REF!</f>
        <v>#REF!</v>
      </c>
      <c r="J11" s="29" t="e">
        <f>ROW(Ressourceneinsatz!#REF!)</f>
        <v>#REF!</v>
      </c>
      <c r="K11" s="29" t="e">
        <f>COLUMN(Ressourceneinsatz!#REF!)</f>
        <v>#REF!</v>
      </c>
      <c r="L11" s="29" t="e">
        <f t="shared" si="0"/>
        <v>#REF!</v>
      </c>
    </row>
    <row r="12" spans="2:12">
      <c r="B12" s="13">
        <f t="shared" si="1"/>
        <v>8</v>
      </c>
      <c r="C12" t="str">
        <f>Cockpit!$D$9</f>
        <v>AM</v>
      </c>
      <c r="D12" s="29">
        <f>ROW(Cockpit!$F$9)</f>
        <v>9</v>
      </c>
      <c r="E12" s="29">
        <f>COLUMN(Cockpit!$F$9)</f>
        <v>6</v>
      </c>
      <c r="F12" s="29" t="str">
        <f t="shared" si="2"/>
        <v>$F$9</v>
      </c>
      <c r="H12" s="13">
        <f t="shared" si="3"/>
        <v>8</v>
      </c>
      <c r="I12" t="e">
        <f>Ressourceneinsatz!#REF!</f>
        <v>#REF!</v>
      </c>
      <c r="J12" s="29" t="e">
        <f>ROW(Ressourceneinsatz!#REF!)</f>
        <v>#REF!</v>
      </c>
      <c r="K12" s="29" t="e">
        <f>COLUMN(Ressourceneinsatz!#REF!)</f>
        <v>#REF!</v>
      </c>
      <c r="L12" s="29" t="e">
        <f t="shared" si="0"/>
        <v>#REF!</v>
      </c>
    </row>
    <row r="13" spans="2:12">
      <c r="B13" s="13">
        <f t="shared" si="1"/>
        <v>9</v>
      </c>
      <c r="C13" t="str">
        <f>Cockpit!$D$10</f>
        <v>VM</v>
      </c>
      <c r="D13" s="29">
        <f>ROW(Cockpit!$F$10)</f>
        <v>10</v>
      </c>
      <c r="E13" s="29">
        <f>COLUMN(Cockpit!$F$10)</f>
        <v>6</v>
      </c>
      <c r="F13" s="29" t="str">
        <f t="shared" si="2"/>
        <v>$F$10</v>
      </c>
      <c r="H13" s="13">
        <f t="shared" si="3"/>
        <v>9</v>
      </c>
      <c r="I13" t="e">
        <f>Ressourceneinsatz!#REF!</f>
        <v>#REF!</v>
      </c>
      <c r="J13" s="29" t="e">
        <f>ROW(Ressourceneinsatz!#REF!)</f>
        <v>#REF!</v>
      </c>
      <c r="K13" s="29" t="e">
        <f>COLUMN(Ressourceneinsatz!#REF!)</f>
        <v>#REF!</v>
      </c>
      <c r="L13" s="29" t="e">
        <f t="shared" si="0"/>
        <v>#REF!</v>
      </c>
    </row>
    <row r="14" spans="2:12">
      <c r="B14" s="13">
        <f t="shared" si="1"/>
        <v>10</v>
      </c>
      <c r="C14" t="str">
        <f>Cockpit!$D$14</f>
        <v>Start</v>
      </c>
      <c r="D14" s="29">
        <f>ROW(Cockpit!$F$14)</f>
        <v>14</v>
      </c>
      <c r="E14" s="29">
        <f>COLUMN(Cockpit!$F$14)</f>
        <v>6</v>
      </c>
      <c r="F14" s="29" t="str">
        <f t="shared" si="2"/>
        <v>$F$14</v>
      </c>
      <c r="H14" s="13">
        <v>10</v>
      </c>
      <c r="I14" t="str">
        <f>Ressourceneinsatz!$C$5</f>
        <v>Summe MA</v>
      </c>
      <c r="J14" s="29">
        <f>ROW(Ressourceneinsatz!$C$5)</f>
        <v>5</v>
      </c>
      <c r="K14" s="29">
        <f>COLUMN(Ressourceneinsatz!$C$5)</f>
        <v>3</v>
      </c>
      <c r="L14" s="29" t="str">
        <f>ADDRESS(J14,K14,1)</f>
        <v>$C$5</v>
      </c>
    </row>
    <row r="15" spans="2:12">
      <c r="B15" s="13">
        <f t="shared" si="1"/>
        <v>11</v>
      </c>
      <c r="C15" t="str">
        <f>Cockpit!$D$15</f>
        <v>Ende</v>
      </c>
      <c r="D15" s="29">
        <f>ROW(Cockpit!$F$15)</f>
        <v>15</v>
      </c>
      <c r="E15" s="29">
        <f>COLUMN(Cockpit!$F$15)</f>
        <v>6</v>
      </c>
      <c r="F15" s="29" t="str">
        <f t="shared" si="2"/>
        <v>$F$15</v>
      </c>
      <c r="H15" s="13">
        <v>11</v>
      </c>
      <c r="I15" t="s">
        <v>147</v>
      </c>
      <c r="J15" s="29">
        <f>ROW(Ressourceneinsatz!$BE$4)</f>
        <v>4</v>
      </c>
      <c r="K15" s="29">
        <f>COLUMN(Ressourceneinsatz!$BE$4)</f>
        <v>57</v>
      </c>
      <c r="L15" s="29" t="str">
        <f>ADDRESS(J15,K15,1)</f>
        <v>$BE$4</v>
      </c>
    </row>
    <row r="16" spans="2:12">
      <c r="B16" s="13">
        <f t="shared" si="1"/>
        <v>12</v>
      </c>
      <c r="C16" t="str">
        <f>Cockpit!$C$16 &amp; " " &amp; Cockpit!$D$16</f>
        <v>Budget Geplant</v>
      </c>
      <c r="D16" s="29">
        <f>ROW(Cockpit!$F$16)</f>
        <v>16</v>
      </c>
      <c r="E16" s="29">
        <f>COLUMN(Cockpit!$F$16)</f>
        <v>6</v>
      </c>
      <c r="F16" s="29" t="str">
        <f t="shared" si="2"/>
        <v>$F$16</v>
      </c>
      <c r="H16" s="13">
        <v>12</v>
      </c>
      <c r="I16" t="s">
        <v>146</v>
      </c>
      <c r="J16" s="29">
        <f>ROW(Ressourceneinsatz!$E$4)</f>
        <v>4</v>
      </c>
      <c r="K16" s="29">
        <f>COLUMN(Ressourceneinsatz!$E$4)</f>
        <v>5</v>
      </c>
      <c r="L16" s="29" t="str">
        <f>ADDRESS(J16,K16,1)</f>
        <v>$E$4</v>
      </c>
    </row>
    <row r="17" spans="2:12">
      <c r="B17" s="13">
        <f t="shared" si="1"/>
        <v>13</v>
      </c>
      <c r="C17" t="str">
        <f>Cockpit!$C$11 &amp; " " &amp; Cockpit!$D$11</f>
        <v>Time Geplant</v>
      </c>
      <c r="D17" s="29">
        <f>ROW(Cockpit!$F$11)</f>
        <v>11</v>
      </c>
      <c r="E17" s="29">
        <f>COLUMN(Cockpit!$F$11)</f>
        <v>6</v>
      </c>
      <c r="F17" s="29" t="str">
        <f t="shared" si="2"/>
        <v>$F$11</v>
      </c>
    </row>
    <row r="18" spans="2:12">
      <c r="B18" s="13">
        <f t="shared" si="1"/>
        <v>14</v>
      </c>
      <c r="C18" t="s">
        <v>69</v>
      </c>
      <c r="D18" s="29">
        <f>ROW(Cockpit!$F$21)</f>
        <v>21</v>
      </c>
      <c r="E18" s="29">
        <f>COLUMN(Cockpit!$F$21)</f>
        <v>6</v>
      </c>
      <c r="F18" s="29" t="str">
        <f t="shared" si="2"/>
        <v>$F$21</v>
      </c>
    </row>
    <row r="19" spans="2:12">
      <c r="B19" s="13">
        <f t="shared" si="1"/>
        <v>15</v>
      </c>
      <c r="C19" t="s">
        <v>70</v>
      </c>
      <c r="D19" s="29">
        <f>ROW(Cockpit!$G$21)</f>
        <v>21</v>
      </c>
      <c r="E19" s="29">
        <f>COLUMN(Cockpit!$G$21)</f>
        <v>7</v>
      </c>
      <c r="F19" s="29" t="str">
        <f t="shared" si="2"/>
        <v>$G$21</v>
      </c>
      <c r="H19" s="49" t="s">
        <v>58</v>
      </c>
      <c r="I19" s="46" t="s">
        <v>62</v>
      </c>
      <c r="J19" s="49" t="s">
        <v>54</v>
      </c>
      <c r="K19" s="49" t="s">
        <v>55</v>
      </c>
      <c r="L19" s="46" t="s">
        <v>53</v>
      </c>
    </row>
    <row r="20" spans="2:12">
      <c r="B20" s="13">
        <f t="shared" si="1"/>
        <v>16</v>
      </c>
      <c r="C20" t="s">
        <v>157</v>
      </c>
      <c r="D20" s="29">
        <f>ROW(Cockpit!$F$28)</f>
        <v>28</v>
      </c>
      <c r="E20" s="29">
        <f>COLUMN(Cockpit!$F$28)</f>
        <v>6</v>
      </c>
      <c r="F20" s="29" t="str">
        <f t="shared" si="2"/>
        <v>$F$28</v>
      </c>
      <c r="H20" s="13">
        <v>2</v>
      </c>
      <c r="I20" t="str">
        <f>Ressourceneinsatz!$C$35</f>
        <v>Entwicklung aktuell</v>
      </c>
      <c r="J20" s="29">
        <f>ROW(Ressourceneinsatz!$C$35)</f>
        <v>35</v>
      </c>
      <c r="K20" s="29">
        <f>COLUMN(Ressourceneinsatz!$C$35)</f>
        <v>3</v>
      </c>
      <c r="L20" t="str">
        <f>ADDRESS(J20,K20,1)</f>
        <v>$C$35</v>
      </c>
    </row>
    <row r="21" spans="2:12">
      <c r="B21" s="13">
        <f t="shared" si="1"/>
        <v>17</v>
      </c>
      <c r="C21" t="str">
        <f>Cockpit!$C$16 &amp; " " &amp;Cockpit!D19</f>
        <v>Budget Ende</v>
      </c>
      <c r="D21" s="29">
        <f>ROW(Cockpit!$F$19)</f>
        <v>19</v>
      </c>
      <c r="E21" s="29">
        <f>COLUMN(Cockpit!$F$19)</f>
        <v>6</v>
      </c>
      <c r="F21" s="29" t="str">
        <f t="shared" si="2"/>
        <v>$F$19</v>
      </c>
      <c r="H21" s="13">
        <f>H20+1</f>
        <v>3</v>
      </c>
      <c r="I21" t="str">
        <f>Ressourceneinsatz!$C$36</f>
        <v>Entwicklung Rest</v>
      </c>
      <c r="J21" s="29">
        <f>ROW(Ressourceneinsatz!$C$36)</f>
        <v>36</v>
      </c>
      <c r="K21" s="29">
        <f>COLUMN(Ressourceneinsatz!$C$36)</f>
        <v>3</v>
      </c>
      <c r="L21" t="str">
        <f t="shared" ref="L21:L26" si="4">ADDRESS(J21,K21,1)</f>
        <v>$C$36</v>
      </c>
    </row>
    <row r="22" spans="2:12">
      <c r="B22" s="13">
        <f t="shared" si="1"/>
        <v>18</v>
      </c>
      <c r="C22" t="str">
        <f xml:space="preserve"> "Time "&amp; Cockpit!$D$13</f>
        <v>Time Fortschritt</v>
      </c>
      <c r="D22" s="29">
        <f>ROW(Cockpit!$F$13)</f>
        <v>13</v>
      </c>
      <c r="E22" s="29">
        <f>COLUMN(Cockpit!$F$13)</f>
        <v>6</v>
      </c>
      <c r="F22" s="29" t="str">
        <f t="shared" si="2"/>
        <v>$F$13</v>
      </c>
      <c r="H22" s="13">
        <f t="shared" ref="H22:H26" si="5">H21+1</f>
        <v>4</v>
      </c>
      <c r="I22" t="str">
        <f>Ressourceneinsatz!$C$42</f>
        <v>Δ Entwicklung Rest</v>
      </c>
      <c r="J22" s="29">
        <f>ROW(Ressourceneinsatz!$C$42)</f>
        <v>42</v>
      </c>
      <c r="K22" s="29">
        <f>COLUMN(Ressourceneinsatz!$C$42)</f>
        <v>3</v>
      </c>
      <c r="L22" t="str">
        <f t="shared" si="4"/>
        <v>$C$42</v>
      </c>
    </row>
    <row r="23" spans="2:12">
      <c r="B23" s="13">
        <f t="shared" si="1"/>
        <v>19</v>
      </c>
      <c r="C23" t="s">
        <v>72</v>
      </c>
      <c r="D23" s="29">
        <f>ROW(Cockpit!$F$18)</f>
        <v>18</v>
      </c>
      <c r="E23" s="29">
        <f>COLUMN(Cockpit!$F$18)</f>
        <v>6</v>
      </c>
      <c r="F23" s="29" t="str">
        <f t="shared" si="2"/>
        <v>$F$18</v>
      </c>
      <c r="H23" s="13">
        <f t="shared" si="5"/>
        <v>5</v>
      </c>
      <c r="I23" t="str">
        <f>Ressourceneinsatz!$C$43</f>
        <v>Δ Entwicklung aktuell</v>
      </c>
      <c r="J23" s="29">
        <f>ROW(Ressourceneinsatz!$C$43)</f>
        <v>43</v>
      </c>
      <c r="K23" s="29">
        <f>COLUMN(Ressourceneinsatz!$C$43)</f>
        <v>3</v>
      </c>
      <c r="L23" t="str">
        <f t="shared" si="4"/>
        <v>$C$43</v>
      </c>
    </row>
    <row r="24" spans="2:12">
      <c r="B24" s="13">
        <f t="shared" si="1"/>
        <v>20</v>
      </c>
      <c r="C24" t="s">
        <v>156</v>
      </c>
      <c r="D24" s="29">
        <f>ROW(Cockpit!$F$27)</f>
        <v>27</v>
      </c>
      <c r="E24" s="29">
        <f>COLUMN(Cockpit!$F$27)</f>
        <v>6</v>
      </c>
      <c r="F24" s="29" t="str">
        <f t="shared" si="2"/>
        <v>$F$27</v>
      </c>
      <c r="H24" s="13">
        <f t="shared" si="5"/>
        <v>6</v>
      </c>
      <c r="I24" t="str">
        <f>Ressourceneinsatz!$C$44</f>
        <v>Soll</v>
      </c>
      <c r="J24" s="29">
        <f>ROW(Ressourceneinsatz!$C$44)</f>
        <v>44</v>
      </c>
      <c r="K24" s="29">
        <f>COLUMN(Ressourceneinsatz!$C$44)</f>
        <v>3</v>
      </c>
      <c r="L24" t="str">
        <f t="shared" si="4"/>
        <v>$C$44</v>
      </c>
    </row>
    <row r="25" spans="2:12">
      <c r="B25" s="13">
        <f t="shared" si="1"/>
        <v>21</v>
      </c>
      <c r="C25" t="str">
        <f>Cockpit!$C$16 &amp; " Rest"</f>
        <v>Budget Rest</v>
      </c>
      <c r="D25" s="29">
        <f>ROW(Cockpit!$G$17)</f>
        <v>17</v>
      </c>
      <c r="E25" s="29">
        <f>COLUMN(Cockpit!$G$17)</f>
        <v>7</v>
      </c>
      <c r="F25" s="29" t="str">
        <f t="shared" si="2"/>
        <v>$G$17</v>
      </c>
      <c r="H25" s="13">
        <f t="shared" si="5"/>
        <v>7</v>
      </c>
      <c r="I25" t="str">
        <f>Ressourceneinsatz!$C$45</f>
        <v>Budget Rest</v>
      </c>
      <c r="J25" s="29">
        <f>ROW(Ressourceneinsatz!$C$45)</f>
        <v>45</v>
      </c>
      <c r="K25" s="29">
        <f>COLUMN(Ressourceneinsatz!$C$45)</f>
        <v>3</v>
      </c>
      <c r="L25" t="str">
        <f t="shared" si="4"/>
        <v>$C$45</v>
      </c>
    </row>
    <row r="26" spans="2:12">
      <c r="B26" s="13">
        <f t="shared" si="1"/>
        <v>22</v>
      </c>
      <c r="C26" t="s">
        <v>158</v>
      </c>
      <c r="D26" s="29">
        <f>ROW(Cockpit!$F$30)</f>
        <v>30</v>
      </c>
      <c r="E26" s="29">
        <f>COLUMN(Cockpit!$F$30)</f>
        <v>6</v>
      </c>
      <c r="F26" s="29" t="str">
        <f t="shared" si="2"/>
        <v>$F$30</v>
      </c>
      <c r="H26" s="13">
        <f t="shared" si="5"/>
        <v>8</v>
      </c>
      <c r="I26" t="str">
        <f>Ressourceneinsatz!$C$33</f>
        <v>Fortschritt Entwicklung</v>
      </c>
      <c r="J26" s="29">
        <f>ROW(Ressourceneinsatz!$C$33)</f>
        <v>33</v>
      </c>
      <c r="K26" s="29">
        <f>COLUMN(Ressourceneinsatz!$C$33)</f>
        <v>3</v>
      </c>
      <c r="L26" t="str">
        <f t="shared" si="4"/>
        <v>$C$33</v>
      </c>
    </row>
    <row r="27" spans="2:12">
      <c r="B27" s="13">
        <f t="shared" si="1"/>
        <v>23</v>
      </c>
      <c r="C27" t="s">
        <v>159</v>
      </c>
      <c r="D27" s="29">
        <f>ROW(Cockpit!$F$31)</f>
        <v>31</v>
      </c>
      <c r="E27" s="29">
        <f>COLUMN(Cockpit!$F$31)</f>
        <v>6</v>
      </c>
      <c r="F27" s="29" t="str">
        <f t="shared" si="2"/>
        <v>$F$31</v>
      </c>
    </row>
    <row r="28" spans="2:12">
      <c r="B28" s="13">
        <f t="shared" si="1"/>
        <v>24</v>
      </c>
      <c r="C28" t="s">
        <v>126</v>
      </c>
      <c r="D28" s="29">
        <f>ROW(Cockpit!$G$22)</f>
        <v>22</v>
      </c>
      <c r="E28" s="29">
        <f>COLUMN(Cockpit!$G$22)</f>
        <v>7</v>
      </c>
      <c r="F28" s="29" t="str">
        <f t="shared" si="2"/>
        <v>$G$22</v>
      </c>
    </row>
    <row r="29" spans="2:12">
      <c r="B29" s="13">
        <f t="shared" si="1"/>
        <v>25</v>
      </c>
      <c r="C29" t="s">
        <v>155</v>
      </c>
      <c r="D29" s="29"/>
      <c r="E29" s="29"/>
      <c r="F29" s="29" t="e">
        <f t="shared" si="2"/>
        <v>#VALUE!</v>
      </c>
      <c r="H29" s="49" t="s">
        <v>58</v>
      </c>
      <c r="I29" s="46" t="s">
        <v>63</v>
      </c>
      <c r="J29" s="49" t="s">
        <v>54</v>
      </c>
      <c r="K29" s="49" t="s">
        <v>55</v>
      </c>
      <c r="L29" s="46" t="s">
        <v>53</v>
      </c>
    </row>
    <row r="30" spans="2:12">
      <c r="B30" s="13">
        <f t="shared" ref="B30:B38" si="6">B29+1</f>
        <v>26</v>
      </c>
      <c r="C30" t="str">
        <f>Cockpit!$C$16 &amp; " Ist"</f>
        <v>Budget Ist</v>
      </c>
      <c r="D30" s="29">
        <f>ROW(Cockpit!$F$17)</f>
        <v>17</v>
      </c>
      <c r="E30" s="29">
        <f>COLUMN(Cockpit!$F$17)</f>
        <v>6</v>
      </c>
      <c r="F30" s="29" t="str">
        <f t="shared" si="2"/>
        <v>$F$17</v>
      </c>
      <c r="H30" s="13">
        <v>2</v>
      </c>
      <c r="I30" t="str">
        <f>Ressourceneinsatz!$C$35</f>
        <v>Entwicklung aktuell</v>
      </c>
      <c r="J30" s="29">
        <f>ROW(Ressourceneinsatz!$D$35)</f>
        <v>35</v>
      </c>
      <c r="K30" s="29">
        <f>COLUMN(Ressourceneinsatz!$D$35)</f>
        <v>4</v>
      </c>
      <c r="L30" t="str">
        <f>ADDRESS(J30,K30,1)</f>
        <v>$D$35</v>
      </c>
    </row>
    <row r="31" spans="2:12">
      <c r="B31" s="13">
        <f t="shared" si="6"/>
        <v>27</v>
      </c>
      <c r="C31" t="str">
        <f>Cockpit!$C$16 &amp; " " &amp; Cockpit!$D$20</f>
        <v>Budget Ende (letzte 4 KW)</v>
      </c>
      <c r="D31" s="29">
        <f>ROW(Cockpit!$F$20)</f>
        <v>20</v>
      </c>
      <c r="E31" s="29">
        <f>COLUMN(Cockpit!$F$20)</f>
        <v>6</v>
      </c>
      <c r="F31" s="29" t="str">
        <f t="shared" si="2"/>
        <v>$F$20</v>
      </c>
      <c r="H31" s="13">
        <f>H30+1</f>
        <v>3</v>
      </c>
      <c r="I31" t="str">
        <f>Ressourceneinsatz!$C$36</f>
        <v>Entwicklung Rest</v>
      </c>
      <c r="J31" s="29">
        <f>ROW(Ressourceneinsatz!$D$36)</f>
        <v>36</v>
      </c>
      <c r="K31" s="29">
        <f>COLUMN(Ressourceneinsatz!$D$36)</f>
        <v>4</v>
      </c>
      <c r="L31" t="str">
        <f>ADDRESS(J31,K31,1)</f>
        <v>$D$36</v>
      </c>
    </row>
    <row r="32" spans="2:12">
      <c r="B32" s="13">
        <f t="shared" si="6"/>
        <v>28</v>
      </c>
      <c r="C32" t="str">
        <f xml:space="preserve"> "Entwicklung Geplant"</f>
        <v>Entwicklung Geplant</v>
      </c>
      <c r="D32" s="29">
        <f>ROW(Cockpit!$F$25)</f>
        <v>25</v>
      </c>
      <c r="E32" s="29">
        <f>COLUMN(Cockpit!$F$25)</f>
        <v>6</v>
      </c>
      <c r="F32" s="29" t="str">
        <f t="shared" si="2"/>
        <v>$F$25</v>
      </c>
    </row>
    <row r="33" spans="2:12">
      <c r="B33" s="13">
        <f t="shared" si="6"/>
        <v>29</v>
      </c>
      <c r="C33" t="str">
        <f>"Entwicklung Ist"</f>
        <v>Entwicklung Ist</v>
      </c>
      <c r="D33" s="29">
        <f>ROW(Cockpit!$F$26)</f>
        <v>26</v>
      </c>
      <c r="E33" s="29">
        <f>COLUMN(Cockpit!$F$26)</f>
        <v>6</v>
      </c>
      <c r="F33" s="29" t="str">
        <f t="shared" si="2"/>
        <v>$F$26</v>
      </c>
    </row>
    <row r="34" spans="2:12">
      <c r="B34" s="13">
        <f t="shared" si="6"/>
        <v>30</v>
      </c>
      <c r="C34" t="str">
        <f>"Entwicklung Rest"</f>
        <v>Entwicklung Rest</v>
      </c>
      <c r="D34" s="29">
        <f>ROW(Cockpit!$G$26)</f>
        <v>26</v>
      </c>
      <c r="E34" s="29">
        <f>COLUMN(Cockpit!$G$26)</f>
        <v>7</v>
      </c>
      <c r="F34" s="29" t="str">
        <f t="shared" si="2"/>
        <v>$G$26</v>
      </c>
      <c r="H34" s="49" t="s">
        <v>58</v>
      </c>
      <c r="I34" s="46" t="s">
        <v>64</v>
      </c>
      <c r="J34" s="46" t="s">
        <v>54</v>
      </c>
      <c r="K34" s="46" t="s">
        <v>55</v>
      </c>
      <c r="L34" s="46" t="s">
        <v>53</v>
      </c>
    </row>
    <row r="35" spans="2:12">
      <c r="B35" s="13">
        <f t="shared" si="6"/>
        <v>31</v>
      </c>
      <c r="C35" t="str">
        <f>Cockpit!$C$11 &amp; " Ist"</f>
        <v>Time Ist</v>
      </c>
      <c r="D35" s="29">
        <f>ROW(Cockpit!$F$12)</f>
        <v>12</v>
      </c>
      <c r="E35" s="29">
        <f>COLUMN(Cockpit!$F$12)</f>
        <v>6</v>
      </c>
      <c r="F35" s="29" t="str">
        <f t="shared" si="2"/>
        <v>$F$12</v>
      </c>
      <c r="H35" s="13">
        <v>2</v>
      </c>
      <c r="I35" t="e">
        <f>Ressourceneinsatz!#REF!</f>
        <v>#REF!</v>
      </c>
      <c r="J35" s="29" t="e">
        <f>ROW(Ressourceneinsatz!#REF!)</f>
        <v>#REF!</v>
      </c>
      <c r="K35" s="29" t="e">
        <f>COLUMN(Ressourceneinsatz!#REF!)</f>
        <v>#REF!</v>
      </c>
      <c r="L35" t="e">
        <f>ADDRESS(J35,K35,1)</f>
        <v>#REF!</v>
      </c>
    </row>
    <row r="36" spans="2:12">
      <c r="B36" s="13">
        <f t="shared" si="6"/>
        <v>32</v>
      </c>
      <c r="C36" t="str">
        <f>Cockpit!$C$11 &amp; " Rest"</f>
        <v>Time Rest</v>
      </c>
      <c r="D36" s="29">
        <f>ROW(Cockpit!$G$12)</f>
        <v>12</v>
      </c>
      <c r="E36" s="29">
        <f>COLUMN(Cockpit!$G$12)</f>
        <v>7</v>
      </c>
      <c r="F36" s="29" t="str">
        <f t="shared" si="2"/>
        <v>$G$12</v>
      </c>
      <c r="H36" s="13">
        <f>H35+1</f>
        <v>3</v>
      </c>
      <c r="I36" t="str">
        <f>Ressourceneinsatz!$C$46</f>
        <v>Prognose</v>
      </c>
      <c r="J36" s="29">
        <f>ROW(Ressourceneinsatz!$C$46)</f>
        <v>46</v>
      </c>
      <c r="K36" s="29">
        <f>COLUMN(Ressourceneinsatz!$C$46)</f>
        <v>3</v>
      </c>
      <c r="L36" t="str">
        <f t="shared" ref="L36:L39" si="7">ADDRESS(J36,K36,1)</f>
        <v>$C$46</v>
      </c>
    </row>
    <row r="37" spans="2:12">
      <c r="B37" s="13">
        <f t="shared" si="6"/>
        <v>33</v>
      </c>
      <c r="C37" t="str">
        <f>"Entwicklung Aktuell"</f>
        <v>Entwicklung Aktuell</v>
      </c>
      <c r="D37" s="29">
        <f>ROW(Cockpit!$G$25)</f>
        <v>25</v>
      </c>
      <c r="E37" s="29">
        <f>COLUMN(Cockpit!$G$25)</f>
        <v>7</v>
      </c>
      <c r="F37" s="29" t="str">
        <f t="shared" si="2"/>
        <v>$G$25</v>
      </c>
      <c r="H37" s="13">
        <f t="shared" ref="H37:H39" si="8">H36+1</f>
        <v>4</v>
      </c>
      <c r="I37" t="str">
        <f>Ressourceneinsatz!$C$47</f>
        <v>Prognose (letzte 4 KW)</v>
      </c>
      <c r="J37" s="29">
        <f>ROW(Ressourceneinsatz!$C$47)</f>
        <v>47</v>
      </c>
      <c r="K37" s="29">
        <f>COLUMN(Ressourceneinsatz!$C$47)</f>
        <v>3</v>
      </c>
      <c r="L37" t="str">
        <f t="shared" si="7"/>
        <v>$C$47</v>
      </c>
    </row>
    <row r="38" spans="2:12">
      <c r="B38" s="13">
        <f t="shared" si="6"/>
        <v>34</v>
      </c>
      <c r="C38" t="str">
        <f>"Entwicklung Ende letzte 4KW"</f>
        <v>Entwicklung Ende letzte 4KW</v>
      </c>
      <c r="D38" s="29">
        <f>ROW(Cockpit!$F$29)</f>
        <v>29</v>
      </c>
      <c r="E38" s="29">
        <f>COLUMN(Cockpit!$F$29)</f>
        <v>6</v>
      </c>
      <c r="F38" s="29" t="str">
        <f t="shared" si="2"/>
        <v>$F$29</v>
      </c>
      <c r="H38" s="13">
        <f t="shared" si="8"/>
        <v>5</v>
      </c>
      <c r="I38" t="s">
        <v>56</v>
      </c>
      <c r="J38" s="29">
        <f>ROW(Ressourceneinsatz!$D$46)</f>
        <v>46</v>
      </c>
      <c r="K38" s="29">
        <f>COLUMN(Ressourceneinsatz!$D$46)</f>
        <v>4</v>
      </c>
      <c r="L38" t="str">
        <f t="shared" si="7"/>
        <v>$D$46</v>
      </c>
    </row>
    <row r="39" spans="2:12">
      <c r="B39" s="13">
        <v>35</v>
      </c>
      <c r="C39" t="s">
        <v>120</v>
      </c>
      <c r="D39" s="29">
        <f>ROW(Cockpit!$F$22)</f>
        <v>22</v>
      </c>
      <c r="E39" s="29">
        <f>COLUMN(Cockpit!$F$22)</f>
        <v>6</v>
      </c>
      <c r="F39" s="29" t="str">
        <f>ADDRESS(D39,E39,1)</f>
        <v>$F$22</v>
      </c>
      <c r="H39" s="13">
        <f t="shared" si="8"/>
        <v>6</v>
      </c>
      <c r="I39" t="s">
        <v>57</v>
      </c>
      <c r="J39" s="29">
        <f>ROW(Ressourceneinsatz!$D$47)</f>
        <v>47</v>
      </c>
      <c r="K39" s="29">
        <f>COLUMN(Ressourceneinsatz!$D$47)</f>
        <v>4</v>
      </c>
      <c r="L39" t="str">
        <f t="shared" si="7"/>
        <v>$D$47</v>
      </c>
    </row>
    <row r="40" spans="2:12">
      <c r="B40" s="13">
        <v>36</v>
      </c>
      <c r="C40" t="s">
        <v>125</v>
      </c>
      <c r="D40" s="29">
        <f>ROW(Cockpit!$F$24)</f>
        <v>24</v>
      </c>
      <c r="E40" s="29">
        <f>COLUMN(Cockpit!$F$24)</f>
        <v>6</v>
      </c>
      <c r="F40" s="29" t="str">
        <f>ADDRESS(D40,E40,1)</f>
        <v>$F$24</v>
      </c>
    </row>
    <row r="41" spans="2:12">
      <c r="B41" s="13">
        <v>37</v>
      </c>
      <c r="C41" t="s">
        <v>124</v>
      </c>
      <c r="D41" s="29">
        <f>ROW(Cockpit!$F$23)</f>
        <v>23</v>
      </c>
      <c r="E41" s="29">
        <f>COLUMN(Cockpit!$F$23)</f>
        <v>6</v>
      </c>
      <c r="F41" s="29" t="str">
        <f>ADDRESS(D41,E41,1)</f>
        <v>$F$23</v>
      </c>
    </row>
    <row r="44" spans="2:12">
      <c r="B44" s="49" t="s">
        <v>58</v>
      </c>
      <c r="C44" s="46" t="s">
        <v>60</v>
      </c>
      <c r="D44" s="49" t="s">
        <v>54</v>
      </c>
      <c r="E44" s="49" t="s">
        <v>55</v>
      </c>
      <c r="F44" s="46" t="s">
        <v>53</v>
      </c>
    </row>
    <row r="45" spans="2:12">
      <c r="B45" s="13">
        <v>2</v>
      </c>
      <c r="C45" t="s">
        <v>160</v>
      </c>
      <c r="D45" s="29">
        <f>ROW(Cockpit!$J$42)</f>
        <v>42</v>
      </c>
      <c r="E45" s="29">
        <f>COLUMN(Cockpit!$J$42)</f>
        <v>10</v>
      </c>
      <c r="F45" s="29"/>
    </row>
    <row r="46" spans="2:12">
      <c r="B46" s="13">
        <f>B45+1</f>
        <v>3</v>
      </c>
      <c r="C46" t="s">
        <v>11</v>
      </c>
      <c r="D46" s="29">
        <f>ROW(Cockpit!$F$42)</f>
        <v>42</v>
      </c>
      <c r="E46" s="29">
        <f>COLUMN(Cockpit!$F$42)</f>
        <v>6</v>
      </c>
      <c r="F46" s="29" t="str">
        <f t="shared" ref="F46:F50" si="9">ADDRESS(D46,E46,1)</f>
        <v>$F$42</v>
      </c>
    </row>
    <row r="47" spans="2:12">
      <c r="B47" s="13">
        <f t="shared" ref="B47:B50" si="10">B46+1</f>
        <v>4</v>
      </c>
      <c r="C47" t="s">
        <v>12</v>
      </c>
      <c r="D47" s="29">
        <f>ROW(Cockpit!$K$42)</f>
        <v>42</v>
      </c>
      <c r="E47" s="29">
        <f>COLUMN(Cockpit!$K$42)</f>
        <v>11</v>
      </c>
      <c r="F47" s="29" t="str">
        <f t="shared" si="9"/>
        <v>$K$42</v>
      </c>
    </row>
    <row r="48" spans="2:12">
      <c r="B48" s="13">
        <f t="shared" si="10"/>
        <v>5</v>
      </c>
      <c r="C48" t="s">
        <v>13</v>
      </c>
      <c r="D48" s="29">
        <f>ROW(Cockpit!$L$42)</f>
        <v>42</v>
      </c>
      <c r="E48" s="29">
        <f>COLUMN(Cockpit!$L$42)</f>
        <v>12</v>
      </c>
      <c r="F48" s="29" t="str">
        <f t="shared" si="9"/>
        <v>$L$42</v>
      </c>
    </row>
    <row r="49" spans="2:12">
      <c r="B49" s="13">
        <f t="shared" si="10"/>
        <v>6</v>
      </c>
      <c r="C49" t="s">
        <v>14</v>
      </c>
      <c r="D49" s="29">
        <f>ROW(Cockpit!$M$42)</f>
        <v>42</v>
      </c>
      <c r="E49" s="29">
        <f>COLUMN(Cockpit!$M$42)</f>
        <v>13</v>
      </c>
      <c r="F49" s="29" t="str">
        <f t="shared" si="9"/>
        <v>$M$42</v>
      </c>
    </row>
    <row r="50" spans="2:12">
      <c r="B50" s="13">
        <f t="shared" si="10"/>
        <v>7</v>
      </c>
      <c r="C50" t="s">
        <v>66</v>
      </c>
      <c r="D50" s="29">
        <f>ROW(Cockpit!$D$42)</f>
        <v>42</v>
      </c>
      <c r="E50" s="29">
        <f>COLUMN(Cockpit!$D$42)</f>
        <v>4</v>
      </c>
      <c r="F50" s="29" t="str">
        <f t="shared" si="9"/>
        <v>$D$42</v>
      </c>
    </row>
    <row r="51" spans="2:12">
      <c r="B51" s="13">
        <v>8</v>
      </c>
      <c r="C51" t="s">
        <v>151</v>
      </c>
      <c r="D51" s="29">
        <f>ROW(Cockpit!$G$42)</f>
        <v>42</v>
      </c>
      <c r="E51" s="29">
        <f>COLUMN(Cockpit!$G$42)</f>
        <v>7</v>
      </c>
      <c r="F51" s="29" t="str">
        <f>ADDRESS(D51,E51,1)</f>
        <v>$G$42</v>
      </c>
    </row>
    <row r="52" spans="2:12">
      <c r="B52" s="13">
        <v>9</v>
      </c>
      <c r="C52" t="s">
        <v>18</v>
      </c>
      <c r="D52" s="29">
        <f>ROW(Cockpit!$I$42)</f>
        <v>42</v>
      </c>
      <c r="E52" s="29">
        <f>COLUMN(Cockpit!$I$42)</f>
        <v>9</v>
      </c>
      <c r="F52" s="29" t="str">
        <f>ADDRESS(D52,E52,1)</f>
        <v>$I$42</v>
      </c>
    </row>
    <row r="55" spans="2:12">
      <c r="B55" s="49" t="s">
        <v>58</v>
      </c>
      <c r="C55" s="46" t="s">
        <v>65</v>
      </c>
      <c r="D55" s="49" t="s">
        <v>54</v>
      </c>
      <c r="E55" s="49" t="s">
        <v>55</v>
      </c>
      <c r="F55" s="46" t="s">
        <v>53</v>
      </c>
    </row>
    <row r="56" spans="2:12">
      <c r="B56" s="13">
        <v>2</v>
      </c>
      <c r="C56" t="str">
        <f>Cockpit!$O$13&amp;Cockpit!$Z$12</f>
        <v/>
      </c>
      <c r="D56" s="29">
        <f>ROW(Cockpit!$Z$13)</f>
        <v>13</v>
      </c>
      <c r="E56" s="29">
        <f>COLUMN(Cockpit!$Z$13)</f>
        <v>26</v>
      </c>
      <c r="F56" s="29" t="str">
        <f>ADDRESS(AdrDiagramm[[#This Row],[Zeile]],AdrDiagramm[[#This Row],[Spalte]],1)</f>
        <v>$Z$13</v>
      </c>
    </row>
    <row r="57" spans="2:12">
      <c r="B57" s="13">
        <f>B56+1</f>
        <v>3</v>
      </c>
      <c r="C57" t="str">
        <f>Cockpit!$O$13&amp;Cockpit!$AA$12</f>
        <v/>
      </c>
      <c r="D57" s="29">
        <f>ROW(Cockpit!$AA$13)</f>
        <v>13</v>
      </c>
      <c r="E57" s="29">
        <f>COLUMN(Cockpit!$AA$13)</f>
        <v>27</v>
      </c>
      <c r="F57" s="29" t="str">
        <f>ADDRESS(AdrDiagramm[[#This Row],[Zeile]],AdrDiagramm[[#This Row],[Spalte]],1)</f>
        <v>$AA$13</v>
      </c>
    </row>
    <row r="58" spans="2:12">
      <c r="B58" s="13">
        <f>B57+1</f>
        <v>4</v>
      </c>
      <c r="C58" t="str">
        <f>Cockpit!$O$14&amp;Cockpit!$Z$12</f>
        <v/>
      </c>
      <c r="D58" s="29">
        <f>ROW(Cockpit!$Z$14)</f>
        <v>14</v>
      </c>
      <c r="E58" s="29">
        <f>COLUMN(Cockpit!$Z$14)</f>
        <v>26</v>
      </c>
      <c r="F58" s="29" t="str">
        <f>ADDRESS(AdrDiagramm[[#This Row],[Zeile]],AdrDiagramm[[#This Row],[Spalte]],1)</f>
        <v>$Z$14</v>
      </c>
    </row>
    <row r="59" spans="2:12">
      <c r="B59" s="13">
        <f>B58+1</f>
        <v>5</v>
      </c>
      <c r="C59" t="str">
        <f>Cockpit!$O$14&amp;Cockpit!$AA$12</f>
        <v/>
      </c>
      <c r="D59" s="29">
        <f>ROW(Cockpit!$AA$14)</f>
        <v>14</v>
      </c>
      <c r="E59" s="29">
        <f>COLUMN(Cockpit!$AA$14)</f>
        <v>27</v>
      </c>
      <c r="F59" s="29" t="str">
        <f>ADDRESS(AdrDiagramm[[#This Row],[Zeile]],AdrDiagramm[[#This Row],[Spalte]],1)</f>
        <v>$AA$14</v>
      </c>
    </row>
    <row r="62" spans="2:12" ht="15.75" thickBot="1">
      <c r="B62" s="480" t="s">
        <v>118</v>
      </c>
      <c r="C62" s="480"/>
      <c r="D62" s="480"/>
      <c r="E62" s="480"/>
      <c r="F62" s="480"/>
      <c r="G62" s="480"/>
      <c r="H62" s="480"/>
      <c r="I62" s="480"/>
      <c r="J62" s="480"/>
      <c r="K62" s="480"/>
      <c r="L62" s="480"/>
    </row>
    <row r="63" spans="2:12">
      <c r="B63" s="98"/>
    </row>
    <row r="64" spans="2:12">
      <c r="B64" s="98"/>
    </row>
    <row r="67" spans="2:6">
      <c r="B67" s="46" t="s">
        <v>58</v>
      </c>
      <c r="C67" s="46" t="s">
        <v>259</v>
      </c>
      <c r="D67" s="46" t="s">
        <v>260</v>
      </c>
      <c r="E67" s="46" t="s">
        <v>261</v>
      </c>
      <c r="F67" s="46" t="s">
        <v>262</v>
      </c>
    </row>
    <row r="68" spans="2:6">
      <c r="B68" s="98">
        <v>1</v>
      </c>
      <c r="C68" t="s">
        <v>263</v>
      </c>
      <c r="D68" t="s">
        <v>266</v>
      </c>
      <c r="E68">
        <f>$E$69</f>
        <v>8</v>
      </c>
      <c r="F68">
        <f>ROW('1. Software Entwicklungssuppor'!$D$173)</f>
        <v>173</v>
      </c>
    </row>
    <row r="69" spans="2:6">
      <c r="B69" s="98" t="s">
        <v>111</v>
      </c>
      <c r="C69" t="s">
        <v>265</v>
      </c>
      <c r="D69" t="s">
        <v>266</v>
      </c>
      <c r="E69">
        <f>ROW('1. Software Entwicklungssuppor'!$D$8)</f>
        <v>8</v>
      </c>
      <c r="F69">
        <f>ROW('1. Software Entwicklungssuppor'!$D$144)</f>
        <v>144</v>
      </c>
    </row>
    <row r="70" spans="2:6">
      <c r="B70" s="98" t="s">
        <v>112</v>
      </c>
      <c r="C70" t="s">
        <v>267</v>
      </c>
      <c r="D70" t="s">
        <v>264</v>
      </c>
      <c r="E70">
        <f>ROW('1. Software Entwicklungssuppor'!$D$12)</f>
        <v>12</v>
      </c>
      <c r="F70">
        <f>ROW('1. Software Entwicklungssuppor'!$D$14)</f>
        <v>14</v>
      </c>
    </row>
    <row r="71" spans="2:6">
      <c r="B71" s="98" t="s">
        <v>288</v>
      </c>
      <c r="C71" t="s">
        <v>289</v>
      </c>
      <c r="D71" t="s">
        <v>264</v>
      </c>
      <c r="E71">
        <f>ROW('1. Software Entwicklungssuppor'!$D$17)</f>
        <v>17</v>
      </c>
      <c r="F71">
        <f>ROW('1. Software Entwicklungssuppor'!$D$19)</f>
        <v>19</v>
      </c>
    </row>
    <row r="72" spans="2:6">
      <c r="B72" s="98" t="s">
        <v>307</v>
      </c>
      <c r="C72" t="s">
        <v>308</v>
      </c>
      <c r="D72" t="s">
        <v>264</v>
      </c>
      <c r="E72">
        <f>ROW('1. Software Entwicklungssuppor'!$D$22)</f>
        <v>22</v>
      </c>
      <c r="F72">
        <f>ROW('1. Software Entwicklungssuppor'!$D$24)</f>
        <v>24</v>
      </c>
    </row>
    <row r="73" spans="2:6">
      <c r="B73" s="98" t="s">
        <v>309</v>
      </c>
      <c r="C73" t="s">
        <v>310</v>
      </c>
      <c r="D73" t="s">
        <v>264</v>
      </c>
      <c r="E73">
        <f>ROW('1. Software Entwicklungssuppor'!$D$27)</f>
        <v>27</v>
      </c>
      <c r="F73">
        <f>ROW('1. Software Entwicklungssuppor'!$D$29)</f>
        <v>29</v>
      </c>
    </row>
    <row r="74" spans="2:6">
      <c r="B74" s="98" t="s">
        <v>311</v>
      </c>
      <c r="C74" t="s">
        <v>312</v>
      </c>
      <c r="D74" t="s">
        <v>264</v>
      </c>
      <c r="E74">
        <f>ROW('1. Software Entwicklungssuppor'!$D$32)</f>
        <v>32</v>
      </c>
      <c r="F74">
        <f>ROW('1. Software Entwicklungssuppor'!$D$34)</f>
        <v>34</v>
      </c>
    </row>
    <row r="75" spans="2:6">
      <c r="B75" s="98" t="s">
        <v>313</v>
      </c>
      <c r="C75" t="s">
        <v>314</v>
      </c>
      <c r="D75" t="s">
        <v>264</v>
      </c>
      <c r="E75">
        <f>ROW('1. Software Entwicklungssuppor'!$D$37)</f>
        <v>37</v>
      </c>
      <c r="F75">
        <f>ROW('1. Software Entwicklungssuppor'!$D$39)</f>
        <v>39</v>
      </c>
    </row>
    <row r="76" spans="2:6">
      <c r="B76" s="98" t="s">
        <v>315</v>
      </c>
      <c r="C76" t="s">
        <v>316</v>
      </c>
      <c r="D76" t="s">
        <v>264</v>
      </c>
      <c r="E76">
        <f>ROW('1. Software Entwicklungssuppor'!$D$42)</f>
        <v>42</v>
      </c>
      <c r="F76">
        <f>ROW('1. Software Entwicklungssuppor'!$D$44)</f>
        <v>44</v>
      </c>
    </row>
    <row r="77" spans="2:6">
      <c r="B77" s="98" t="s">
        <v>317</v>
      </c>
      <c r="C77" t="s">
        <v>318</v>
      </c>
      <c r="D77" t="s">
        <v>264</v>
      </c>
      <c r="E77">
        <f>ROW('1. Software Entwicklungssuppor'!$D$47)</f>
        <v>47</v>
      </c>
      <c r="F77">
        <f>ROW('1. Software Entwicklungssuppor'!$D$49)</f>
        <v>49</v>
      </c>
    </row>
    <row r="78" spans="2:6">
      <c r="B78" s="98" t="s">
        <v>319</v>
      </c>
      <c r="C78" t="s">
        <v>320</v>
      </c>
      <c r="D78" t="s">
        <v>264</v>
      </c>
      <c r="E78">
        <f>ROW('1. Software Entwicklungssuppor'!$D$52)</f>
        <v>52</v>
      </c>
      <c r="F78">
        <f>ROW('1. Software Entwicklungssuppor'!$D$54)</f>
        <v>54</v>
      </c>
    </row>
    <row r="79" spans="2:6">
      <c r="B79" s="98" t="s">
        <v>268</v>
      </c>
      <c r="C79" t="s">
        <v>269</v>
      </c>
      <c r="D79" t="s">
        <v>264</v>
      </c>
      <c r="E79">
        <f>ROW('1. Software Entwicklungssuppor'!$D$57)</f>
        <v>57</v>
      </c>
      <c r="F79">
        <f>ROW('1. Software Entwicklungssuppor'!$D$59)</f>
        <v>59</v>
      </c>
    </row>
    <row r="80" spans="2:6">
      <c r="B80" s="98" t="s">
        <v>270</v>
      </c>
      <c r="C80" t="s">
        <v>271</v>
      </c>
      <c r="D80" t="s">
        <v>264</v>
      </c>
      <c r="E80">
        <f>ROW('1. Software Entwicklungssuppor'!$D$62)</f>
        <v>62</v>
      </c>
      <c r="F80">
        <f>ROW('1. Software Entwicklungssuppor'!$D$64)</f>
        <v>64</v>
      </c>
    </row>
    <row r="81" spans="2:6">
      <c r="B81" s="98" t="s">
        <v>272</v>
      </c>
      <c r="C81" t="s">
        <v>273</v>
      </c>
      <c r="D81" t="s">
        <v>264</v>
      </c>
      <c r="E81">
        <f>ROW('1. Software Entwicklungssuppor'!$D$67)</f>
        <v>67</v>
      </c>
      <c r="F81">
        <f>ROW('1. Software Entwicklungssuppor'!$D$69)</f>
        <v>69</v>
      </c>
    </row>
    <row r="82" spans="2:6">
      <c r="B82" s="98" t="s">
        <v>274</v>
      </c>
      <c r="C82" t="s">
        <v>275</v>
      </c>
      <c r="D82" t="s">
        <v>264</v>
      </c>
      <c r="E82">
        <f>ROW('1. Software Entwicklungssuppor'!$D$72)</f>
        <v>72</v>
      </c>
      <c r="F82">
        <f>ROW('1. Software Entwicklungssuppor'!$D$74)</f>
        <v>74</v>
      </c>
    </row>
    <row r="83" spans="2:6">
      <c r="B83" s="98" t="s">
        <v>276</v>
      </c>
      <c r="C83" t="s">
        <v>277</v>
      </c>
      <c r="D83" t="s">
        <v>264</v>
      </c>
      <c r="E83">
        <f>ROW('1. Software Entwicklungssuppor'!$D$77)</f>
        <v>77</v>
      </c>
      <c r="F83">
        <f>ROW('1. Software Entwicklungssuppor'!$D$79)</f>
        <v>79</v>
      </c>
    </row>
    <row r="84" spans="2:6">
      <c r="B84" s="98" t="s">
        <v>278</v>
      </c>
      <c r="C84" t="s">
        <v>279</v>
      </c>
      <c r="D84" t="s">
        <v>264</v>
      </c>
      <c r="E84">
        <f>ROW('1. Software Entwicklungssuppor'!$D$82)</f>
        <v>82</v>
      </c>
      <c r="F84">
        <f>ROW('1. Software Entwicklungssuppor'!$D$84)</f>
        <v>84</v>
      </c>
    </row>
    <row r="85" spans="2:6">
      <c r="B85" s="98" t="s">
        <v>280</v>
      </c>
      <c r="C85" t="s">
        <v>281</v>
      </c>
      <c r="D85" t="s">
        <v>264</v>
      </c>
      <c r="E85">
        <f>ROW('1. Software Entwicklungssuppor'!$D$87)</f>
        <v>87</v>
      </c>
      <c r="F85">
        <f>ROW('1. Software Entwicklungssuppor'!$D$89)</f>
        <v>89</v>
      </c>
    </row>
    <row r="86" spans="2:6">
      <c r="B86" s="98" t="s">
        <v>282</v>
      </c>
      <c r="C86" t="s">
        <v>283</v>
      </c>
      <c r="D86" t="s">
        <v>264</v>
      </c>
      <c r="E86">
        <f>ROW('1. Software Entwicklungssuppor'!$D$92)</f>
        <v>92</v>
      </c>
      <c r="F86">
        <f>ROW('1. Software Entwicklungssuppor'!$D$94)</f>
        <v>94</v>
      </c>
    </row>
    <row r="87" spans="2:6">
      <c r="B87" s="98" t="s">
        <v>284</v>
      </c>
      <c r="C87" t="s">
        <v>285</v>
      </c>
      <c r="D87" t="s">
        <v>264</v>
      </c>
      <c r="E87">
        <f>ROW('1. Software Entwicklungssuppor'!$D$97)</f>
        <v>97</v>
      </c>
      <c r="F87">
        <f>ROW('1. Software Entwicklungssuppor'!$D$99)</f>
        <v>99</v>
      </c>
    </row>
    <row r="88" spans="2:6">
      <c r="B88" s="98" t="s">
        <v>286</v>
      </c>
      <c r="C88" t="s">
        <v>287</v>
      </c>
      <c r="D88" t="s">
        <v>264</v>
      </c>
      <c r="E88">
        <f>ROW('1. Software Entwicklungssuppor'!$D$102)</f>
        <v>102</v>
      </c>
      <c r="F88">
        <f>ROW('1. Software Entwicklungssuppor'!$D$104)</f>
        <v>104</v>
      </c>
    </row>
    <row r="89" spans="2:6">
      <c r="B89" s="98" t="s">
        <v>290</v>
      </c>
      <c r="C89" t="s">
        <v>291</v>
      </c>
      <c r="D89" t="s">
        <v>264</v>
      </c>
      <c r="E89">
        <f>ROW('1. Software Entwicklungssuppor'!$D$107)</f>
        <v>107</v>
      </c>
      <c r="F89">
        <f>ROW('1. Software Entwicklungssuppor'!$D$109)</f>
        <v>109</v>
      </c>
    </row>
    <row r="90" spans="2:6">
      <c r="B90" s="98" t="s">
        <v>292</v>
      </c>
      <c r="C90" t="s">
        <v>293</v>
      </c>
      <c r="D90" t="s">
        <v>264</v>
      </c>
      <c r="E90">
        <f>ROW('1. Software Entwicklungssuppor'!$D$112)</f>
        <v>112</v>
      </c>
      <c r="F90">
        <f>ROW('1. Software Entwicklungssuppor'!$D$114)</f>
        <v>114</v>
      </c>
    </row>
    <row r="91" spans="2:6">
      <c r="B91" s="98" t="s">
        <v>294</v>
      </c>
      <c r="C91" t="s">
        <v>295</v>
      </c>
      <c r="D91" t="s">
        <v>264</v>
      </c>
      <c r="E91">
        <f>ROW('1. Software Entwicklungssuppor'!$D$117)</f>
        <v>117</v>
      </c>
      <c r="F91">
        <f>ROW('1. Software Entwicklungssuppor'!$D$119)</f>
        <v>119</v>
      </c>
    </row>
    <row r="92" spans="2:6">
      <c r="B92" s="98" t="s">
        <v>296</v>
      </c>
      <c r="C92" t="s">
        <v>297</v>
      </c>
      <c r="D92" t="s">
        <v>264</v>
      </c>
      <c r="E92">
        <f>ROW('1. Software Entwicklungssuppor'!$D$122)</f>
        <v>122</v>
      </c>
      <c r="F92">
        <f>ROW('1. Software Entwicklungssuppor'!$D$124)</f>
        <v>124</v>
      </c>
    </row>
    <row r="93" spans="2:6">
      <c r="B93" s="98" t="s">
        <v>299</v>
      </c>
      <c r="C93" t="s">
        <v>300</v>
      </c>
      <c r="D93" t="s">
        <v>264</v>
      </c>
      <c r="E93">
        <f>ROW('1. Software Entwicklungssuppor'!$D$127)</f>
        <v>127</v>
      </c>
      <c r="F93">
        <f>ROW('1. Software Entwicklungssuppor'!$D$129)</f>
        <v>129</v>
      </c>
    </row>
    <row r="94" spans="2:6">
      <c r="B94" s="98" t="s">
        <v>301</v>
      </c>
      <c r="C94" t="s">
        <v>302</v>
      </c>
      <c r="D94" t="s">
        <v>264</v>
      </c>
      <c r="E94">
        <f>ROW('1. Software Entwicklungssuppor'!$D$132)</f>
        <v>132</v>
      </c>
      <c r="F94">
        <f>ROW('1. Software Entwicklungssuppor'!$D$134)</f>
        <v>134</v>
      </c>
    </row>
    <row r="95" spans="2:6">
      <c r="B95" s="98" t="s">
        <v>303</v>
      </c>
      <c r="C95" t="s">
        <v>304</v>
      </c>
      <c r="D95" t="s">
        <v>264</v>
      </c>
      <c r="E95">
        <f>ROW('1. Software Entwicklungssuppor'!$D$137)</f>
        <v>137</v>
      </c>
      <c r="F95">
        <f>ROW('1. Software Entwicklungssuppor'!$D$139)</f>
        <v>139</v>
      </c>
    </row>
    <row r="96" spans="2:6">
      <c r="B96" s="98" t="s">
        <v>305</v>
      </c>
      <c r="C96" t="s">
        <v>306</v>
      </c>
      <c r="D96" t="s">
        <v>264</v>
      </c>
      <c r="E96">
        <f>ROW('1. Software Entwicklungssuppor'!$D$142)</f>
        <v>142</v>
      </c>
      <c r="F96">
        <f>ROW('1. Software Entwicklungssuppor'!$D$144)</f>
        <v>144</v>
      </c>
    </row>
    <row r="97" spans="2:6">
      <c r="B97" s="98" t="s">
        <v>113</v>
      </c>
      <c r="C97" t="s">
        <v>321</v>
      </c>
      <c r="D97" t="s">
        <v>266</v>
      </c>
      <c r="E97">
        <f>ROW('1. Software Entwicklungssuppor'!$D$147)</f>
        <v>147</v>
      </c>
      <c r="F97">
        <f>ROW('1. Software Entwicklungssuppor'!$D$173)</f>
        <v>173</v>
      </c>
    </row>
    <row r="98" spans="2:6">
      <c r="B98" s="98" t="s">
        <v>322</v>
      </c>
      <c r="C98" t="s">
        <v>323</v>
      </c>
      <c r="D98" t="s">
        <v>264</v>
      </c>
      <c r="E98">
        <f>ROW('1. Software Entwicklungssuppor'!$D$151)</f>
        <v>151</v>
      </c>
      <c r="F98">
        <f>ROW('1. Software Entwicklungssuppor'!$D$153)</f>
        <v>153</v>
      </c>
    </row>
    <row r="99" spans="2:6">
      <c r="B99" s="98" t="s">
        <v>324</v>
      </c>
      <c r="C99" t="s">
        <v>325</v>
      </c>
      <c r="D99" t="s">
        <v>264</v>
      </c>
      <c r="E99">
        <f>ROW('1. Software Entwicklungssuppor'!$D$156)</f>
        <v>156</v>
      </c>
      <c r="F99">
        <f>ROW('1. Software Entwicklungssuppor'!$D$158)</f>
        <v>158</v>
      </c>
    </row>
    <row r="100" spans="2:6">
      <c r="B100" s="98" t="s">
        <v>326</v>
      </c>
      <c r="C100" t="s">
        <v>327</v>
      </c>
      <c r="D100" t="s">
        <v>264</v>
      </c>
      <c r="E100">
        <f>ROW('1. Software Entwicklungssuppor'!$D$161)</f>
        <v>161</v>
      </c>
      <c r="F100">
        <f>ROW('1. Software Entwicklungssuppor'!$D$163)</f>
        <v>163</v>
      </c>
    </row>
    <row r="101" spans="2:6">
      <c r="B101" s="98" t="s">
        <v>328</v>
      </c>
      <c r="C101" t="s">
        <v>329</v>
      </c>
      <c r="D101" t="s">
        <v>264</v>
      </c>
      <c r="E101">
        <f>ROW('1. Software Entwicklungssuppor'!$D$166)</f>
        <v>166</v>
      </c>
      <c r="F101">
        <f>ROW('1. Software Entwicklungssuppor'!$D$168)</f>
        <v>168</v>
      </c>
    </row>
    <row r="102" spans="2:6">
      <c r="B102" s="98" t="s">
        <v>330</v>
      </c>
      <c r="C102" t="s">
        <v>331</v>
      </c>
      <c r="D102" t="s">
        <v>264</v>
      </c>
      <c r="E102">
        <f>ROW('1. Software Entwicklungssuppor'!$D$171)</f>
        <v>171</v>
      </c>
      <c r="F102">
        <f>ROW('1. Software Entwicklungssuppor'!$D$173)</f>
        <v>173</v>
      </c>
    </row>
    <row r="105" spans="2:6">
      <c r="B105" s="46" t="s">
        <v>58</v>
      </c>
      <c r="C105" s="46" t="s">
        <v>333</v>
      </c>
      <c r="D105" s="46" t="s">
        <v>260</v>
      </c>
      <c r="E105" s="46" t="s">
        <v>261</v>
      </c>
      <c r="F105" s="46" t="s">
        <v>262</v>
      </c>
    </row>
    <row r="106" spans="2:6">
      <c r="B106" s="98">
        <v>2</v>
      </c>
      <c r="C106" t="s">
        <v>334</v>
      </c>
      <c r="D106" t="s">
        <v>264</v>
      </c>
      <c r="E106">
        <f>ROW('2. Support Systementwicklung '!$D$8)</f>
        <v>8</v>
      </c>
      <c r="F106">
        <f>ROW('2. Support Systementwicklung '!$D$8)</f>
        <v>8</v>
      </c>
    </row>
    <row r="109" spans="2:6">
      <c r="B109" s="46" t="s">
        <v>58</v>
      </c>
      <c r="C109" s="46" t="s">
        <v>336</v>
      </c>
      <c r="D109" s="46" t="s">
        <v>260</v>
      </c>
      <c r="E109" s="46" t="s">
        <v>261</v>
      </c>
      <c r="F109" s="46" t="s">
        <v>262</v>
      </c>
    </row>
    <row r="110" spans="2:6">
      <c r="B110" s="98">
        <v>3</v>
      </c>
      <c r="C110" t="s">
        <v>337</v>
      </c>
      <c r="D110" t="s">
        <v>266</v>
      </c>
      <c r="E110">
        <f>$E$111</f>
        <v>8</v>
      </c>
      <c r="F110">
        <f>ROW('3. Support Task Force'!$D$20)</f>
        <v>20</v>
      </c>
    </row>
    <row r="111" spans="2:6">
      <c r="B111" s="98" t="s">
        <v>338</v>
      </c>
      <c r="C111" t="s">
        <v>339</v>
      </c>
      <c r="D111" t="s">
        <v>264</v>
      </c>
      <c r="E111">
        <f>ROW('3. Support Task Force'!$D$8)</f>
        <v>8</v>
      </c>
      <c r="F111">
        <f>ROW('3. Support Task Force'!$D$10)</f>
        <v>10</v>
      </c>
    </row>
    <row r="112" spans="2:6">
      <c r="B112" s="98" t="s">
        <v>340</v>
      </c>
      <c r="C112" t="s">
        <v>341</v>
      </c>
      <c r="D112" t="s">
        <v>264</v>
      </c>
      <c r="E112">
        <f>ROW('3. Support Task Force'!$D$13)</f>
        <v>13</v>
      </c>
      <c r="F112">
        <f>ROW('3. Support Task Force'!$D$15)</f>
        <v>15</v>
      </c>
    </row>
    <row r="113" spans="2:6">
      <c r="B113" s="98" t="s">
        <v>342</v>
      </c>
      <c r="C113" t="s">
        <v>343</v>
      </c>
      <c r="D113" t="s">
        <v>264</v>
      </c>
      <c r="E113">
        <f>ROW('3. Support Task Force'!$D$18)</f>
        <v>18</v>
      </c>
      <c r="F113">
        <f>ROW('3. Support Task Force'!$D$20)</f>
        <v>20</v>
      </c>
    </row>
    <row r="116" spans="2:6">
      <c r="B116" s="46" t="s">
        <v>58</v>
      </c>
      <c r="C116" s="46" t="s">
        <v>345</v>
      </c>
      <c r="D116" s="46" t="s">
        <v>260</v>
      </c>
      <c r="E116" s="46" t="s">
        <v>261</v>
      </c>
      <c r="F116" s="46" t="s">
        <v>262</v>
      </c>
    </row>
    <row r="117" spans="2:6">
      <c r="B117" s="98">
        <v>4</v>
      </c>
      <c r="C117" t="s">
        <v>346</v>
      </c>
      <c r="D117" t="s">
        <v>264</v>
      </c>
      <c r="E117">
        <f>ROW('4. Geschätze Prozessaufwände'!$D$8)</f>
        <v>8</v>
      </c>
      <c r="F117">
        <f>ROW('4. Geschätze Prozessaufwände'!$D$8)</f>
        <v>8</v>
      </c>
    </row>
  </sheetData>
  <mergeCells count="4">
    <mergeCell ref="B4:F4"/>
    <mergeCell ref="H4:L4"/>
    <mergeCell ref="B2:L2"/>
    <mergeCell ref="B62:L62"/>
  </mergeCells>
  <pageMargins left="0.7" right="0.7" top="0.78740157499999996" bottom="0.78740157499999996" header="0.3" footer="0.3"/>
  <pageSetup paperSize="9" orientation="portrait" r:id="rId1"/>
  <tableParts count="11">
    <tablePart r:id="rId2"/>
    <tablePart r:id="rId3"/>
    <tablePart r:id="rId4"/>
    <tablePart r:id="rId5"/>
    <tablePart r:id="rId6"/>
    <tablePart r:id="rId7"/>
    <tablePart r:id="rId8"/>
    <tablePart r:id="rId9"/>
    <tablePart r:id="rId10"/>
    <tablePart r:id="rId11"/>
    <tablePart r:id="rId12"/>
  </tableParts>
</worksheet>
</file>

<file path=customUI/customUI14.xml><?xml version="1.0" encoding="utf-8"?>
<customUI xmlns="http://schemas.microsoft.com/office/2009/07/customui" onLoad="ribbonLoaded">
  <ribbon startFromScratch="false">
    <tabs>
      <tab id="customTab" label="PDCA Planner">
        <group id="GroupGeneral" label="Projekt">
          <button id="BtnNewProject" label="Neues Projekt" imageMso="FileNewDefault" size="large" screentip="Neues Projekt anlegen" supertip="Neues Projekt auf Grundlage eines Conaktiv-Projektes anlegen." onAction="Rib_NewProject"/>
          <button id="BtnAddDevelopement" label="Entwicklung hinzufügen" imageMso="PasteMergeConditionalFormatting" size="normal" screentip="Entwicklungplanung hinzufügen" onAction="Rib_AddDevelopement"/>
          <!---<button id="BtnFollowUpProject" 
                            label="Folgebeauftragung" 
                            imageMso="PageScaleToFitOptionsDialog" 
                            size="normal" 
                            screentip="Folgebeauftragung hinzufügen" 
                            supertip="Eine Folgebeauftragung aus Conaktiv der Projektplanung hinzufügen." 
                            onAction="Rib_AddFollowUpProject" />
                    <dropDown id="DropDownMode">
                         <item id="one" label="Budgetansicht"/>
                         <item id="two" label="Entwicklungsplanung"/>
                    </dropDown>
                    <button id="BtnProjectBackUp" 
                            label="BackUp" 
                            imageMso="HeaderFooterFilePathInsert" 
                            size="normal" 
                            screentip="Projekt-BackUp erstellen" 
                            supertip="Erstellen eines BackUps zum Sichern oder Exportieren des Projekts." 
                            onAction="Set_BackUpDatenbank" />
					<button id="BtnOldProject" 
                            label="Projekt einfügen" 
                            imageMso="PageScaleToFitOptionsDialog" 
                            size="normal" 
                            screentip="Veralteten Projektplaner einfügen" 
                            supertip="Projekt einer alten Version des Projektplaners in die aktuelle Version einsetzen."
                            onAction="Callback" />-->
          <button id="BtnGeneralSettings" label="Einstellungen" imageMso="AddInManager" size="large" screentip="Projekteinstellungen" onAction="OpenSettings"/>
          <button id="BtnInfo" label="Info" imageMso="RefreshStatus" size="large" screentip="Info zum Projektplaner" onAction="Rib_GetInfo"/>
        </group>
        <group id="GroupUpdate" label="Update">
          <button id="BtnUpdate" label="&amp;Update" imageMso="Refresh" size="large" screentip="Update" supertip="Aktualisieren des Projektes mit den Daten aus Conaktiv. Es werden die Positionen und Unterpositionen aus Conaktiv übernommen." onAction="Rib_Update"/>
          <labelControl id="lastUpdateText" label="Letztes Update:"/>
          <labelControl id="lastUpdateDate" getLabel="getLabelLastUpdate"/>
        </group>
        <group id="GroupTimeUnit" label="Zeiteinheit">
          <button id="BtnTimeUnit" getLabel="getLabelTimeUnit" imageMso="HeaderFooterCurrentTimeInsert" size="large" screentip="Stunden/Tage" supertip="Wechseln der Zeiteinheit zwischen Tage und Stunden." onAction="Change_TimeUnit"/>
        </group>
        <group id="DiagramTimeSettings" getVisible="CallbackGetVisible" tag="Diagramm Burndown" label="Diagramm Burndown">
          <labelControl id="Empty"/>
          <labelControl id="lblKW" label="Start"/>
          <labelControl id="lblJahr" label="Ende"/>
          <labelControl id="LabelStart" label="  KW"/>
          <editBox id="StartWeek" sizeString="WW" maxLength="2" onChange="EditboxOnChange" getText="getTextFromEditbox"/>
          <editBox id="EndWeek" sizeString="WW" maxLength="2" onChange="EditboxOnChange" getText="getTextFromEditbox"/>
          <labelControl id="LabelEnd" label="    Jahr"/>
          <editBox id="StartYear" sizeString="WWWW" maxLength="4" onChange="EditboxOnChange" getText="getTextFromEditbox"/>
          <editBox id="EndYear" sizeString="WWWW" maxLength="4" onChange="EditboxOnChange" getText="getTextFromEditbox"/>
          <button id="BtnSetTimerange" label="Zeitraum setzen" imageMso="ChartInsert" size="large" onAction="Rib_SetChartRange"/>
          <button id="BtnResetTimerange" label="Zeitraum zurücksetzen" imageMso="Undo" size="large" onAction="Rib_ResetChartRange"/>
        </group>
        <!---<checkBox id="DataSeries1"
                              label="Datenreihe 1" />
                    <checkBox id="DataSeries2"
                              label="Datenreihe 2" />
                    <checkBox id="DataSeries3"
                              label="Datenreihe 3" />
                    <checkBox id="DataSeries4"
                              label="Datenreihe 4" />
                    <checkBox id="DataSeries5"
                              label="Datenreihe 5" />
                    <checkBox id="DataSeries6"
                              label="Datenreihe 6" />
                    <checkBox id="DataSeries7"
                              label="Datenreihe 7" />
                    <checkBox id="DataSeries8"
                              label="Datenreihe 8" />
                    <checkBox id="DataSeries9"
                              label="Datenreihe 9" />
                </group>-->
        <group id="GroupPosition" getVisible="CallbackGetVisible" tag="Funktionen Position" label="Funktionen Position">
          <!--<button id="BtnNewPosition" 
                            label="Neue Position" 
                            imageMso="ChartTypeCustomVisualInsertGallery" 
                            size="large" 
                            screentip="Neue Position hinzufügen" 
                            supertip="Dem Projekt wird ein neues Positionsblatt hinzugefügt. Die Positionsnummer sollte mit Conaktiv übereinstimmen, ansonsten können Einträge in Conaktiv nicht zugeordnet werden."
                            onAction="Rib_AddPosition" />
				    <button id="BtnPositionDelete" 
                            label="Position löschen" 
                            imageMso="PivotClearAll" 
                            size="large" 
                            screentip="Aktuelle Position löschen" 
                            supertip="Das aktuell geöffnete Positionsblatt wird gelöscht."
                            onAction="Rib_DeletePosition" />
					<button id="BtnNewSubPosition" 
                            label="Unterposition 1.Grades" 
                            imageMso="SheetRowsInsert" 
                            size="normal" 
                            screentip="Unterposition 1.Grades" 
                            supertip="Eine neue Unterposition wird der aktuell geöffneten Position hinzugefügt. Die Nummer sollte dabei mit Conaktiv übereinstimmen."
                            onAction="Rib_AddSubPositionFirstType" />
					<button id="BtnDelSubPosition" 
                            label="Unterposition 2.Grades" 
                            imageMso="SheetRowsDelete" 
                            size="normal" 
                            screentip="Aktuelle Unterposition löschen" 
                            supertip="Die Unterposition löschen, die aktuell über die Zellauswahl ausgewählt ist."
                            onAction="Rib_AddSubPositionSecondType" />-->
          <button id="BtnRowInsert" label="Neue Zeile" imageMso="SheetRowsInsert" size="large" screentip="Planungs-Zeilen hinzufügen" supertip="Entsprechend dem ausgwählten Bereich werden Planungs-Zeilen der Position hinzugefügt. Die Zeilen des gewählten Bereichs werden nach unten verschoben" onAction="Rib_AddRows"/>
          <button id="BtnRowDelete" label="Zeile löschen" imageMso="SheetRowsDelete" size="large" screentip="Ausgewählte Planungs-Zeilen entfernen" supertip="Alle Planungs-Zeilen, die im ausgewählten Bereich liegen, werden gelöscht." onAction="Rib_DeleteRows"/>
        </group>
        <group id="GroupStundenabruf" getVisible="CallbackGetVisible" tag="Stundenabruf" label="Stundenabruf">
          <button id="AdoptDevState" label="Entwicklungsstand übernehmen" imageMso="FileMarkAsFinal" size="large" screentip="Aktuellen Entwicklungsstand übernehmen" supertip="Der aktuelle Entwicklungsstand bezogen auf geplantem und Rest-Entwicklungsaufwand wird in die ausgewählte Kalenderwoche im Stundenabruf eingetragen." onAction="Rib_AdoptDevState"/>
        </group>
        <!--<group id="GroupHelp" 
                       label="Hilfe">
					<button id="BtnHelp" 
                            label="Hilfe" 
                            imageMso="Help" 
                            size="large" 
                            onAction="Callback"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CE877ED-F58A-46BA-99F8-AD1F45C1B49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11</vt:i4>
      </vt:variant>
    </vt:vector>
  </HeadingPairs>
  <TitlesOfParts>
    <vt:vector size="11" baseType="lpstr">
      <vt:lpstr>Cockpit</vt:lpstr>
      <vt:lpstr>1. Software Entwicklungssuppor</vt:lpstr>
      <vt:lpstr>2. Support Systementwicklung </vt:lpstr>
      <vt:lpstr>3. Support Task Force</vt:lpstr>
      <vt:lpstr>4. Geschätze Prozessaufwände</vt:lpstr>
      <vt:lpstr>Ressourceneinsatz</vt:lpstr>
      <vt:lpstr>Vorlage Position</vt:lpstr>
      <vt:lpstr>MA-Budget-Check</vt:lpstr>
      <vt:lpstr>Pos_Hilfstabelle</vt:lpstr>
      <vt:lpstr>Projekteinstellungen</vt:lpstr>
      <vt:lpstr>Adresstabelle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Knepper David</dc:creator>
  <cp:lastModifiedBy>Pawelka Nicolas</cp:lastModifiedBy>
  <dcterms:created xsi:type="dcterms:W3CDTF">2023-01-13T09:05:36Z</dcterms:created>
  <dcterms:modified xsi:type="dcterms:W3CDTF">2023-10-20T12:16:27Z</dcterms:modified>
</cp:coreProperties>
</file>